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triz RACI" sheetId="1" state="visible" r:id="rId3"/>
    <sheet name="Leyenda" sheetId="2" state="visible" r:id="rId4"/>
  </sheets>
  <definedNames>
    <definedName function="false" hidden="false" localSheetId="0" name="_xlnm.Print_Titles" vbProcedure="false">'Matriz RACI'!$4:$4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<sst xmlns="http://schemas.openxmlformats.org/spreadsheetml/2006/main" count="364" uniqueCount="94">
  <si>
    <t xml:space="preserve">1.8 Matriz RACI · Kronos AI</t>
  </si>
  <si>
    <t xml:space="preserve">Quién es responsable (R), quién aprueba (A), a quién se consulta (C) y a quién se informa (I). Versión 2.0 · 27-10-2026</t>
  </si>
  <si>
    <t xml:space="preserve">Actividad o entregable</t>
  </si>
  <si>
    <t xml:space="preserve">NZ
Nicolás Zamora</t>
  </si>
  <si>
    <t xml:space="preserve">RR
Rodrigo Riveros</t>
  </si>
  <si>
    <t xml:space="preserve">PG
Patricio González</t>
  </si>
  <si>
    <t xml:space="preserve">PROF
Profesor guía</t>
  </si>
  <si>
    <t xml:space="preserve">ENC
Encargado de TI (PyME)</t>
  </si>
  <si>
    <t xml:space="preserve">Aprobadores (debe ser 1)</t>
  </si>
  <si>
    <t xml:space="preserve">1. Componentes</t>
  </si>
  <si>
    <t xml:space="preserve">SOAR-CORE-01 y endurecimiento</t>
  </si>
  <si>
    <t xml:space="preserve">A/R</t>
  </si>
  <si>
    <t xml:space="preserve">C</t>
  </si>
  <si>
    <t xml:space="preserve">I</t>
  </si>
  <si>
    <t xml:space="preserve">-</t>
  </si>
  <si>
    <t xml:space="preserve">NetBird</t>
  </si>
  <si>
    <t xml:space="preserve">SOAR-DETECT (Wazuh) y reglas de sobre</t>
  </si>
  <si>
    <t xml:space="preserve">SOAR-COLLECT (agentes)</t>
  </si>
  <si>
    <t xml:space="preserve">Scripts de Active Response (Linux y Windows)</t>
  </si>
  <si>
    <t xml:space="preserve">R</t>
  </si>
  <si>
    <t xml:space="preserve">SOAR-CLASSIFY (modelo y prompts)</t>
  </si>
  <si>
    <t xml:space="preserve">SOAR-VALIDATE (lógica y chequeos)</t>
  </si>
  <si>
    <t xml:space="preserve">Catálogo KRO-CAT-01</t>
  </si>
  <si>
    <t xml:space="preserve">Configuración de VALIDATE</t>
  </si>
  <si>
    <t xml:space="preserve">SOAR-EXECUTE</t>
  </si>
  <si>
    <t xml:space="preserve">SOAR-NOTIFY y avisos por Telegram</t>
  </si>
  <si>
    <t xml:space="preserve">SOAR-AUDIT (esquema y roles)</t>
  </si>
  <si>
    <t xml:space="preserve">SOAR-CONSOLE</t>
  </si>
  <si>
    <t xml:space="preserve">Respaldo y restauración</t>
  </si>
  <si>
    <t xml:space="preserve">Despliegue de los servicios</t>
  </si>
  <si>
    <t xml:space="preserve">2. Laboratorio, pruebas y calidad</t>
  </si>
  <si>
    <t xml:space="preserve">Laboratorio de la PyME simulada (EP-WKS-01 y EP-SRV-01)</t>
  </si>
  <si>
    <t xml:space="preserve">Repositorio y CI</t>
  </si>
  <si>
    <t xml:space="preserve">Revisión de los PR</t>
  </si>
  <si>
    <t xml:space="preserve">Mediciones del modelo y 150 casos</t>
  </si>
  <si>
    <t xml:space="preserve">Prueba de estrés y de ráfaga (E6)</t>
  </si>
  <si>
    <t xml:space="preserve">Prueba integral E1 a E7</t>
  </si>
  <si>
    <t xml:space="preserve">A</t>
  </si>
  <si>
    <t xml:space="preserve">Prueba con un encargado de TI</t>
  </si>
  <si>
    <t xml:space="preserve">3. Operación</t>
  </si>
  <si>
    <t xml:space="preserve">Aprobar o rechazar una medida de nivel 3</t>
  </si>
  <si>
    <t xml:space="preserve">Revisar una medida de nivel 2</t>
  </si>
  <si>
    <t xml:space="preserve">Avisar por correo a la persona afectada</t>
  </si>
  <si>
    <t xml:space="preserve">Atender un ticket en revisión manual</t>
  </si>
  <si>
    <t xml:space="preserve">Cerrar el cortacircuito</t>
  </si>
  <si>
    <t xml:space="preserve">Verificar la cadena de la bitácora</t>
  </si>
  <si>
    <t xml:space="preserve">Responder a un incidente de la plataforma</t>
  </si>
  <si>
    <t xml:space="preserve">4. Documentos</t>
  </si>
  <si>
    <t xml:space="preserve">1.1, 1.2, 1.5, 1.6, 1.8, 1.9 (gestión)</t>
  </si>
  <si>
    <t xml:space="preserve">1.3, 1.4, 1.7 (cronograma, metodología, EDT)</t>
  </si>
  <si>
    <t xml:space="preserve">2.1 Procesos AS-IS</t>
  </si>
  <si>
    <t xml:space="preserve">2.2, 2.3, 2.4, 2.6 (TO-BE, ERS, trazabilidad, playbooks)</t>
  </si>
  <si>
    <t xml:space="preserve">2.5 Casos de uso</t>
  </si>
  <si>
    <t xml:space="preserve">2.7 Integraciones</t>
  </si>
  <si>
    <t xml:space="preserve">3.1 Arquitectura (4+1)</t>
  </si>
  <si>
    <t xml:space="preserve">3.2 Infraestructura, DRP y FinOps</t>
  </si>
  <si>
    <t xml:space="preserve">4.1 Motor de IA</t>
  </si>
  <si>
    <t xml:space="preserve">4.2 Trazabilidad y HITL</t>
  </si>
  <si>
    <t xml:space="preserve">5.1, 5.2, 5.6 (amenazas, riesgos, incidentes)</t>
  </si>
  <si>
    <t xml:space="preserve">5.3, 5.4, 5.5 (políticas, IAM, secretos)</t>
  </si>
  <si>
    <t xml:space="preserve">6.1, 6.4, 6.5 (calidad, determinismo, carga)</t>
  </si>
  <si>
    <t xml:space="preserve">6.2 Plan maestro de pruebas</t>
  </si>
  <si>
    <t xml:space="preserve">6.3 Casos de prueba</t>
  </si>
  <si>
    <t xml:space="preserve">Informe final</t>
  </si>
  <si>
    <t xml:space="preserve">Manual del encargado de TI</t>
  </si>
  <si>
    <t xml:space="preserve">Presentación y video de respaldo</t>
  </si>
  <si>
    <t xml:space="preserve">5. Decisiones y entregas</t>
  </si>
  <si>
    <t xml:space="preserve">Diseño de infraestructura y detección</t>
  </si>
  <si>
    <t xml:space="preserve">Diseño de persistencia, ejecución y consola</t>
  </si>
  <si>
    <t xml:space="preserve">Diseño del motor de decisión</t>
  </si>
  <si>
    <t xml:space="preserve">Cambios de alcance</t>
  </si>
  <si>
    <t xml:space="preserve">Versión 1.0.0 y publicación del repositorio</t>
  </si>
  <si>
    <t xml:space="preserve">Entregas académicas</t>
  </si>
  <si>
    <t xml:space="preserve">Contrato del servidor</t>
  </si>
  <si>
    <t xml:space="preserve">Notas</t>
  </si>
  <si>
    <t xml:space="preserve">• Una sola A por fila: la columna G lo comprueba y se marca en rojo si no se cumple. A/R = la misma persona hace y aprueba.</t>
  </si>
  <si>
    <t xml:space="preserve">• La aprobación de un PR siempre la da otro integrante (regla D-54); eso no cambia quién responde por el componente.</t>
  </si>
  <si>
    <t xml:space="preserve">• Desde el 26-10 no hay cliente real: Kronos se valida en una PyME simulada y el encargado de TI aprueba el nivel 3 (D-59). En la demostración, un integrante interpreta ese rol.</t>
  </si>
  <si>
    <t xml:space="preserve">• En la operación, cualquier integrante puede actuar como respaldo (por eso hay varias R); la bitácora registra quién lo hizo.</t>
  </si>
  <si>
    <t xml:space="preserve">• El camino crítico concentra varias A en Nicolás (infraestructura, laboratorio y agentes): riesgo R-18.</t>
  </si>
  <si>
    <t xml:space="preserve">Letra</t>
  </si>
  <si>
    <t xml:space="preserve">Rol</t>
  </si>
  <si>
    <t xml:space="preserve">Regla</t>
  </si>
  <si>
    <t xml:space="preserve">Responsable: hace el trabajo</t>
  </si>
  <si>
    <t xml:space="preserve">Puede haber más de uno</t>
  </si>
  <si>
    <t xml:space="preserve">Aprobador: responde por el resultado</t>
  </si>
  <si>
    <t xml:space="preserve">Exactamente uno por fila</t>
  </si>
  <si>
    <t xml:space="preserve">Hace el trabajo y responde por él</t>
  </si>
  <si>
    <t xml:space="preserve">Cuenta como el aprobador</t>
  </si>
  <si>
    <t xml:space="preserve">Consultado: opina antes de decidir</t>
  </si>
  <si>
    <t xml:space="preserve">Comunicación en ambos sentidos</t>
  </si>
  <si>
    <t xml:space="preserve">Informado: se le avisa el resultado</t>
  </si>
  <si>
    <t xml:space="preserve">Comunicación en un sentido</t>
  </si>
  <si>
    <t xml:space="preserve">No participa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</si>
</sst>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A5F"/>
      <name val="Calibri"/>
      <family val="0"/>
      <charset val="1"/>
    </font>
    <font>
      <sz val="10"/>
      <color rgb="FF5A6270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b val="true"/>
      <sz val="11"/>
      <color rgb="FF1F3A5F"/>
      <name val="Calibri"/>
      <family val="0"/>
      <charset val="1"/>
    </font>
    <font>
      <sz val="10"/>
      <name val="Calibri"/>
      <family val="0"/>
      <charset val="1"/>
    </font>
    <font>
      <b val="true"/>
      <sz val="10"/>
      <name val="Calibri"/>
      <family val="0"/>
      <charset val="1"/>
    </font>
    <font>
      <b val="true"/>
      <sz val="10"/>
      <color rgb="FF1F3A5F"/>
      <name val="Calibri"/>
      <family val="0"/>
      <charset val="1"/>
    </font>
    <font>
      <sz val="10"/>
      <color rgb="FF1A1A1A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1"/>
      <color rgb="FF1A1A1A"/>
      <name val="Calibri"/>
      <family val="0"/>
      <charset val="1"/>
    </font>
    <font>
      <sz val="11"/>
      <color rgb="FF1A1A1A"/>
      <name val="Calibri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A5F"/>
        <bgColor rgb="FF333399"/>
      </patternFill>
    </fill>
    <fill>
      <patternFill patternType="solid">
        <fgColor rgb="FFE8EEF6"/>
        <bgColor rgb="FFF3F4F6"/>
      </patternFill>
    </fill>
    <fill>
      <patternFill patternType="solid">
        <fgColor rgb="FFF3F4F6"/>
        <bgColor rgb="FFE8EEF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C6D1"/>
      </left>
      <right style="thin">
        <color rgb="FFBFC6D1"/>
      </right>
      <top style="thin">
        <color rgb="FFBFC6D1"/>
      </top>
      <bottom style="thin">
        <color rgb="FFBFC6D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ont>
        <b val="1"/>
        <color rgb="FFFFFFFF"/>
      </font>
      <fill>
        <patternFill>
          <bgColor rgb="FF1F3A5F"/>
        </patternFill>
      </fill>
    </dxf>
    <dxf>
      <font>
        <b val="1"/>
        <color rgb="FFFFFFFF"/>
      </font>
      <fill>
        <patternFill>
          <bgColor rgb="FFB8860B"/>
        </patternFill>
      </fill>
    </dxf>
    <dxf>
      <font>
        <b val="1"/>
        <color rgb="FFFFFFFF"/>
      </font>
      <fill>
        <patternFill>
          <bgColor rgb="FF4A7FB5"/>
        </patternFill>
      </fill>
    </dxf>
    <dxf>
      <font>
        <b val="1"/>
        <color rgb="FF1A1A1A"/>
      </font>
      <fill>
        <patternFill>
          <bgColor rgb="FFA7B3C2"/>
        </patternFill>
      </fill>
    </dxf>
    <dxf>
      <font>
        <b val="1"/>
        <color rgb="FF1A1A1A"/>
      </font>
      <fill>
        <patternFill>
          <bgColor rgb="FFE8EEF6"/>
        </patternFill>
      </fill>
    </dxf>
    <dxf>
      <font>
        <b val="1"/>
        <color rgb="FFC0201A"/>
      </font>
      <fill>
        <patternFill>
          <bgColor rgb="FFF6D5D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8860B"/>
      <rgbColor rgb="FF800080"/>
      <rgbColor rgb="FF008080"/>
      <rgbColor rgb="FFBFC6D1"/>
      <rgbColor rgb="FF808080"/>
      <rgbColor rgb="FF9999FF"/>
      <rgbColor rgb="FF993366"/>
      <rgbColor rgb="FFF3F4F6"/>
      <rgbColor rgb="FFE8EEF6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6D5D0"/>
      <rgbColor rgb="FF4A7FB5"/>
      <rgbColor rgb="FF33CCCC"/>
      <rgbColor rgb="FF99CC00"/>
      <rgbColor rgb="FFFFCC00"/>
      <rgbColor rgb="FFFF9900"/>
      <rgbColor rgb="FFFF6600"/>
      <rgbColor rgb="FF5A6270"/>
      <rgbColor rgb="FFA7B3C2"/>
      <rgbColor rgb="FF1F3A5F"/>
      <rgbColor rgb="FF339966"/>
      <rgbColor rgb="FF003300"/>
      <rgbColor rgb="FF333300"/>
      <rgbColor rgb="FFC0201A"/>
      <rgbColor rgb="FF993366"/>
      <rgbColor rgb="FF333399"/>
      <rgbColor rgb="FF1A1A1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7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6" min="2" style="0" width="15"/>
    <col collapsed="false" customWidth="true" hidden="false" outlineLevel="0" max="7" min="7" style="0" width="13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31.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customFormat="false" ht="15" hidden="false" customHeight="false" outlineLevel="0" collapsed="false">
      <c r="A5" s="4" t="s">
        <v>9</v>
      </c>
      <c r="B5" s="4"/>
      <c r="C5" s="4"/>
      <c r="D5" s="4"/>
      <c r="E5" s="4"/>
      <c r="F5" s="4"/>
      <c r="G5" s="4"/>
    </row>
    <row r="6" customFormat="false" ht="15" hidden="false" customHeight="false" outlineLevel="0" collapsed="false">
      <c r="A6" s="5" t="s">
        <v>10</v>
      </c>
      <c r="B6" s="6" t="s">
        <v>11</v>
      </c>
      <c r="C6" s="6" t="s">
        <v>12</v>
      </c>
      <c r="D6" s="6" t="s">
        <v>13</v>
      </c>
      <c r="E6" s="6" t="s">
        <v>13</v>
      </c>
      <c r="F6" s="6" t="s">
        <v>14</v>
      </c>
      <c r="G6" s="7" t="n">
        <f aca="false">COUNTIF(B6:F6,"A")+COUNTIF(B6:F6,"A/R")</f>
        <v>1</v>
      </c>
    </row>
    <row r="7" customFormat="false" ht="15" hidden="false" customHeight="false" outlineLevel="0" collapsed="false">
      <c r="A7" s="8" t="s">
        <v>15</v>
      </c>
      <c r="B7" s="9" t="s">
        <v>11</v>
      </c>
      <c r="C7" s="9" t="s">
        <v>12</v>
      </c>
      <c r="D7" s="9" t="s">
        <v>13</v>
      </c>
      <c r="E7" s="9" t="s">
        <v>14</v>
      </c>
      <c r="F7" s="9" t="s">
        <v>14</v>
      </c>
      <c r="G7" s="7" t="n">
        <f aca="false">COUNTIF(B7:F7,"A")+COUNTIF(B7:F7,"A/R")</f>
        <v>1</v>
      </c>
    </row>
    <row r="8" customFormat="false" ht="15" hidden="false" customHeight="false" outlineLevel="0" collapsed="false">
      <c r="A8" s="5" t="s">
        <v>16</v>
      </c>
      <c r="B8" s="6" t="s">
        <v>11</v>
      </c>
      <c r="C8" s="6" t="s">
        <v>13</v>
      </c>
      <c r="D8" s="6" t="s">
        <v>12</v>
      </c>
      <c r="E8" s="6" t="s">
        <v>14</v>
      </c>
      <c r="F8" s="6" t="s">
        <v>14</v>
      </c>
      <c r="G8" s="7" t="n">
        <f aca="false">COUNTIF(B8:F8,"A")+COUNTIF(B8:F8,"A/R")</f>
        <v>1</v>
      </c>
    </row>
    <row r="9" customFormat="false" ht="15" hidden="false" customHeight="false" outlineLevel="0" collapsed="false">
      <c r="A9" s="8" t="s">
        <v>17</v>
      </c>
      <c r="B9" s="9" t="s">
        <v>11</v>
      </c>
      <c r="C9" s="9" t="s">
        <v>13</v>
      </c>
      <c r="D9" s="9" t="s">
        <v>13</v>
      </c>
      <c r="E9" s="9" t="s">
        <v>14</v>
      </c>
      <c r="F9" s="9" t="s">
        <v>13</v>
      </c>
      <c r="G9" s="7" t="n">
        <f aca="false">COUNTIF(B9:F9,"A")+COUNTIF(B9:F9,"A/R")</f>
        <v>1</v>
      </c>
    </row>
    <row r="10" customFormat="false" ht="15" hidden="false" customHeight="false" outlineLevel="0" collapsed="false">
      <c r="A10" s="5" t="s">
        <v>18</v>
      </c>
      <c r="B10" s="6" t="s">
        <v>11</v>
      </c>
      <c r="C10" s="6" t="s">
        <v>19</v>
      </c>
      <c r="D10" s="6" t="s">
        <v>13</v>
      </c>
      <c r="E10" s="6" t="s">
        <v>14</v>
      </c>
      <c r="F10" s="6" t="s">
        <v>14</v>
      </c>
      <c r="G10" s="7" t="n">
        <f aca="false">COUNTIF(B10:F10,"A")+COUNTIF(B10:F10,"A/R")</f>
        <v>1</v>
      </c>
    </row>
    <row r="11" customFormat="false" ht="15" hidden="false" customHeight="false" outlineLevel="0" collapsed="false">
      <c r="A11" s="8" t="s">
        <v>20</v>
      </c>
      <c r="B11" s="9" t="s">
        <v>13</v>
      </c>
      <c r="C11" s="9" t="s">
        <v>13</v>
      </c>
      <c r="D11" s="9" t="s">
        <v>11</v>
      </c>
      <c r="E11" s="9" t="s">
        <v>14</v>
      </c>
      <c r="F11" s="9" t="s">
        <v>14</v>
      </c>
      <c r="G11" s="7" t="n">
        <f aca="false">COUNTIF(B11:F11,"A")+COUNTIF(B11:F11,"A/R")</f>
        <v>1</v>
      </c>
    </row>
    <row r="12" customFormat="false" ht="15" hidden="false" customHeight="false" outlineLevel="0" collapsed="false">
      <c r="A12" s="5" t="s">
        <v>21</v>
      </c>
      <c r="B12" s="6" t="s">
        <v>13</v>
      </c>
      <c r="C12" s="6" t="s">
        <v>12</v>
      </c>
      <c r="D12" s="6" t="s">
        <v>11</v>
      </c>
      <c r="E12" s="6" t="s">
        <v>14</v>
      </c>
      <c r="F12" s="6" t="s">
        <v>14</v>
      </c>
      <c r="G12" s="7" t="n">
        <f aca="false">COUNTIF(B12:F12,"A")+COUNTIF(B12:F12,"A/R")</f>
        <v>1</v>
      </c>
    </row>
    <row r="13" customFormat="false" ht="15" hidden="false" customHeight="false" outlineLevel="0" collapsed="false">
      <c r="A13" s="8" t="s">
        <v>22</v>
      </c>
      <c r="B13" s="9" t="s">
        <v>12</v>
      </c>
      <c r="C13" s="9" t="s">
        <v>12</v>
      </c>
      <c r="D13" s="9" t="s">
        <v>11</v>
      </c>
      <c r="E13" s="9" t="s">
        <v>13</v>
      </c>
      <c r="F13" s="9" t="s">
        <v>14</v>
      </c>
      <c r="G13" s="7" t="n">
        <f aca="false">COUNTIF(B13:F13,"A")+COUNTIF(B13:F13,"A/R")</f>
        <v>1</v>
      </c>
    </row>
    <row r="14" customFormat="false" ht="15" hidden="false" customHeight="false" outlineLevel="0" collapsed="false">
      <c r="A14" s="5" t="s">
        <v>23</v>
      </c>
      <c r="B14" s="6" t="s">
        <v>12</v>
      </c>
      <c r="C14" s="6" t="s">
        <v>12</v>
      </c>
      <c r="D14" s="6" t="s">
        <v>11</v>
      </c>
      <c r="E14" s="6" t="s">
        <v>14</v>
      </c>
      <c r="F14" s="6" t="s">
        <v>14</v>
      </c>
      <c r="G14" s="7" t="n">
        <f aca="false">COUNTIF(B14:F14,"A")+COUNTIF(B14:F14,"A/R")</f>
        <v>1</v>
      </c>
    </row>
    <row r="15" customFormat="false" ht="15" hidden="false" customHeight="false" outlineLevel="0" collapsed="false">
      <c r="A15" s="8" t="s">
        <v>24</v>
      </c>
      <c r="B15" s="9" t="s">
        <v>12</v>
      </c>
      <c r="C15" s="9" t="s">
        <v>11</v>
      </c>
      <c r="D15" s="9" t="s">
        <v>12</v>
      </c>
      <c r="E15" s="9" t="s">
        <v>14</v>
      </c>
      <c r="F15" s="9" t="s">
        <v>14</v>
      </c>
      <c r="G15" s="7" t="n">
        <f aca="false">COUNTIF(B15:F15,"A")+COUNTIF(B15:F15,"A/R")</f>
        <v>1</v>
      </c>
    </row>
    <row r="16" customFormat="false" ht="15" hidden="false" customHeight="false" outlineLevel="0" collapsed="false">
      <c r="A16" s="5" t="s">
        <v>25</v>
      </c>
      <c r="B16" s="6" t="s">
        <v>13</v>
      </c>
      <c r="C16" s="6" t="s">
        <v>11</v>
      </c>
      <c r="D16" s="6" t="s">
        <v>13</v>
      </c>
      <c r="E16" s="6" t="s">
        <v>14</v>
      </c>
      <c r="F16" s="6" t="s">
        <v>13</v>
      </c>
      <c r="G16" s="7" t="n">
        <f aca="false">COUNTIF(B16:F16,"A")+COUNTIF(B16:F16,"A/R")</f>
        <v>1</v>
      </c>
    </row>
    <row r="17" customFormat="false" ht="15" hidden="false" customHeight="false" outlineLevel="0" collapsed="false">
      <c r="A17" s="8" t="s">
        <v>26</v>
      </c>
      <c r="B17" s="9" t="s">
        <v>13</v>
      </c>
      <c r="C17" s="9" t="s">
        <v>11</v>
      </c>
      <c r="D17" s="9" t="s">
        <v>12</v>
      </c>
      <c r="E17" s="9" t="s">
        <v>14</v>
      </c>
      <c r="F17" s="9" t="s">
        <v>14</v>
      </c>
      <c r="G17" s="7" t="n">
        <f aca="false">COUNTIF(B17:F17,"A")+COUNTIF(B17:F17,"A/R")</f>
        <v>1</v>
      </c>
    </row>
    <row r="18" customFormat="false" ht="15" hidden="false" customHeight="false" outlineLevel="0" collapsed="false">
      <c r="A18" s="5" t="s">
        <v>27</v>
      </c>
      <c r="B18" s="6" t="s">
        <v>13</v>
      </c>
      <c r="C18" s="6" t="s">
        <v>11</v>
      </c>
      <c r="D18" s="6" t="s">
        <v>12</v>
      </c>
      <c r="E18" s="6" t="s">
        <v>14</v>
      </c>
      <c r="F18" s="6" t="s">
        <v>14</v>
      </c>
      <c r="G18" s="7" t="n">
        <f aca="false">COUNTIF(B18:F18,"A")+COUNTIF(B18:F18,"A/R")</f>
        <v>1</v>
      </c>
    </row>
    <row r="19" customFormat="false" ht="15" hidden="false" customHeight="false" outlineLevel="0" collapsed="false">
      <c r="A19" s="8" t="s">
        <v>28</v>
      </c>
      <c r="B19" s="9" t="s">
        <v>12</v>
      </c>
      <c r="C19" s="9" t="s">
        <v>11</v>
      </c>
      <c r="D19" s="9" t="s">
        <v>13</v>
      </c>
      <c r="E19" s="9" t="s">
        <v>14</v>
      </c>
      <c r="F19" s="9" t="s">
        <v>14</v>
      </c>
      <c r="G19" s="7" t="n">
        <f aca="false">COUNTIF(B19:F19,"A")+COUNTIF(B19:F19,"A/R")</f>
        <v>1</v>
      </c>
    </row>
    <row r="20" customFormat="false" ht="15" hidden="false" customHeight="false" outlineLevel="0" collapsed="false">
      <c r="A20" s="5" t="s">
        <v>29</v>
      </c>
      <c r="B20" s="6" t="s">
        <v>19</v>
      </c>
      <c r="C20" s="6" t="s">
        <v>11</v>
      </c>
      <c r="D20" s="6" t="s">
        <v>13</v>
      </c>
      <c r="E20" s="6" t="s">
        <v>14</v>
      </c>
      <c r="F20" s="6" t="s">
        <v>14</v>
      </c>
      <c r="G20" s="7" t="n">
        <f aca="false">COUNTIF(B20:F20,"A")+COUNTIF(B20:F20,"A/R")</f>
        <v>1</v>
      </c>
    </row>
    <row r="21" customFormat="false" ht="15" hidden="false" customHeight="false" outlineLevel="0" collapsed="false">
      <c r="A21" s="4" t="s">
        <v>30</v>
      </c>
      <c r="B21" s="4"/>
      <c r="C21" s="4"/>
      <c r="D21" s="4"/>
      <c r="E21" s="4"/>
      <c r="F21" s="4"/>
      <c r="G21" s="4"/>
    </row>
    <row r="22" customFormat="false" ht="15" hidden="false" customHeight="false" outlineLevel="0" collapsed="false">
      <c r="A22" s="5" t="s">
        <v>31</v>
      </c>
      <c r="B22" s="6" t="s">
        <v>11</v>
      </c>
      <c r="C22" s="6" t="s">
        <v>13</v>
      </c>
      <c r="D22" s="6" t="s">
        <v>13</v>
      </c>
      <c r="E22" s="6" t="s">
        <v>14</v>
      </c>
      <c r="F22" s="6" t="s">
        <v>14</v>
      </c>
      <c r="G22" s="7" t="n">
        <f aca="false">COUNTIF(B22:F22,"A")+COUNTIF(B22:F22,"A/R")</f>
        <v>1</v>
      </c>
    </row>
    <row r="23" customFormat="false" ht="15" hidden="false" customHeight="false" outlineLevel="0" collapsed="false">
      <c r="A23" s="8" t="s">
        <v>32</v>
      </c>
      <c r="B23" s="9" t="s">
        <v>13</v>
      </c>
      <c r="C23" s="9" t="s">
        <v>11</v>
      </c>
      <c r="D23" s="9" t="s">
        <v>13</v>
      </c>
      <c r="E23" s="9" t="s">
        <v>14</v>
      </c>
      <c r="F23" s="9" t="s">
        <v>14</v>
      </c>
      <c r="G23" s="7" t="n">
        <f aca="false">COUNTIF(B23:F23,"A")+COUNTIF(B23:F23,"A/R")</f>
        <v>1</v>
      </c>
    </row>
    <row r="24" customFormat="false" ht="15" hidden="false" customHeight="false" outlineLevel="0" collapsed="false">
      <c r="A24" s="5" t="s">
        <v>33</v>
      </c>
      <c r="B24" s="6" t="s">
        <v>19</v>
      </c>
      <c r="C24" s="6" t="s">
        <v>11</v>
      </c>
      <c r="D24" s="6" t="s">
        <v>19</v>
      </c>
      <c r="E24" s="6" t="s">
        <v>14</v>
      </c>
      <c r="F24" s="6" t="s">
        <v>14</v>
      </c>
      <c r="G24" s="7" t="n">
        <f aca="false">COUNTIF(B24:F24,"A")+COUNTIF(B24:F24,"A/R")</f>
        <v>1</v>
      </c>
    </row>
    <row r="25" customFormat="false" ht="15" hidden="false" customHeight="false" outlineLevel="0" collapsed="false">
      <c r="A25" s="8" t="s">
        <v>34</v>
      </c>
      <c r="B25" s="9" t="s">
        <v>13</v>
      </c>
      <c r="C25" s="9" t="s">
        <v>13</v>
      </c>
      <c r="D25" s="9" t="s">
        <v>11</v>
      </c>
      <c r="E25" s="9" t="s">
        <v>14</v>
      </c>
      <c r="F25" s="9" t="s">
        <v>14</v>
      </c>
      <c r="G25" s="7" t="n">
        <f aca="false">COUNTIF(B25:F25,"A")+COUNTIF(B25:F25,"A/R")</f>
        <v>1</v>
      </c>
    </row>
    <row r="26" customFormat="false" ht="15" hidden="false" customHeight="false" outlineLevel="0" collapsed="false">
      <c r="A26" s="5" t="s">
        <v>35</v>
      </c>
      <c r="B26" s="6" t="s">
        <v>12</v>
      </c>
      <c r="C26" s="6" t="s">
        <v>12</v>
      </c>
      <c r="D26" s="6" t="s">
        <v>11</v>
      </c>
      <c r="E26" s="6" t="s">
        <v>13</v>
      </c>
      <c r="F26" s="6" t="s">
        <v>14</v>
      </c>
      <c r="G26" s="7" t="n">
        <f aca="false">COUNTIF(B26:F26,"A")+COUNTIF(B26:F26,"A/R")</f>
        <v>1</v>
      </c>
    </row>
    <row r="27" customFormat="false" ht="15" hidden="false" customHeight="false" outlineLevel="0" collapsed="false">
      <c r="A27" s="8" t="s">
        <v>36</v>
      </c>
      <c r="B27" s="9" t="s">
        <v>37</v>
      </c>
      <c r="C27" s="9" t="s">
        <v>19</v>
      </c>
      <c r="D27" s="9" t="s">
        <v>19</v>
      </c>
      <c r="E27" s="9" t="s">
        <v>13</v>
      </c>
      <c r="F27" s="9" t="s">
        <v>13</v>
      </c>
      <c r="G27" s="7" t="n">
        <f aca="false">COUNTIF(B27:F27,"A")+COUNTIF(B27:F27,"A/R")</f>
        <v>1</v>
      </c>
    </row>
    <row r="28" customFormat="false" ht="15" hidden="false" customHeight="false" outlineLevel="0" collapsed="false">
      <c r="A28" s="5" t="s">
        <v>38</v>
      </c>
      <c r="B28" s="6" t="s">
        <v>19</v>
      </c>
      <c r="C28" s="6" t="s">
        <v>19</v>
      </c>
      <c r="D28" s="6" t="s">
        <v>19</v>
      </c>
      <c r="E28" s="6" t="s">
        <v>37</v>
      </c>
      <c r="F28" s="6" t="s">
        <v>12</v>
      </c>
      <c r="G28" s="7" t="n">
        <f aca="false">COUNTIF(B28:F28,"A")+COUNTIF(B28:F28,"A/R")</f>
        <v>1</v>
      </c>
    </row>
    <row r="29" customFormat="false" ht="15" hidden="false" customHeight="false" outlineLevel="0" collapsed="false">
      <c r="A29" s="4" t="s">
        <v>39</v>
      </c>
      <c r="B29" s="4"/>
      <c r="C29" s="4"/>
      <c r="D29" s="4"/>
      <c r="E29" s="4"/>
      <c r="F29" s="4"/>
      <c r="G29" s="4"/>
    </row>
    <row r="30" customFormat="false" ht="15" hidden="false" customHeight="false" outlineLevel="0" collapsed="false">
      <c r="A30" s="5" t="s">
        <v>40</v>
      </c>
      <c r="B30" s="6" t="s">
        <v>12</v>
      </c>
      <c r="C30" s="6" t="s">
        <v>19</v>
      </c>
      <c r="D30" s="6" t="s">
        <v>19</v>
      </c>
      <c r="E30" s="6" t="s">
        <v>14</v>
      </c>
      <c r="F30" s="6" t="s">
        <v>37</v>
      </c>
      <c r="G30" s="7" t="n">
        <f aca="false">COUNTIF(B30:F30,"A")+COUNTIF(B30:F30,"A/R")</f>
        <v>1</v>
      </c>
    </row>
    <row r="31" customFormat="false" ht="15" hidden="false" customHeight="false" outlineLevel="0" collapsed="false">
      <c r="A31" s="8" t="s">
        <v>41</v>
      </c>
      <c r="B31" s="9" t="s">
        <v>12</v>
      </c>
      <c r="C31" s="9" t="s">
        <v>19</v>
      </c>
      <c r="D31" s="9" t="s">
        <v>19</v>
      </c>
      <c r="E31" s="9" t="s">
        <v>14</v>
      </c>
      <c r="F31" s="9" t="s">
        <v>37</v>
      </c>
      <c r="G31" s="7" t="n">
        <f aca="false">COUNTIF(B31:F31,"A")+COUNTIF(B31:F31,"A/R")</f>
        <v>1</v>
      </c>
    </row>
    <row r="32" customFormat="false" ht="15" hidden="false" customHeight="false" outlineLevel="0" collapsed="false">
      <c r="A32" s="5" t="s">
        <v>42</v>
      </c>
      <c r="B32" s="6" t="s">
        <v>13</v>
      </c>
      <c r="C32" s="6" t="s">
        <v>13</v>
      </c>
      <c r="D32" s="6" t="s">
        <v>13</v>
      </c>
      <c r="E32" s="6" t="s">
        <v>14</v>
      </c>
      <c r="F32" s="6" t="s">
        <v>11</v>
      </c>
      <c r="G32" s="7" t="n">
        <f aca="false">COUNTIF(B32:F32,"A")+COUNTIF(B32:F32,"A/R")</f>
        <v>1</v>
      </c>
    </row>
    <row r="33" customFormat="false" ht="15" hidden="false" customHeight="false" outlineLevel="0" collapsed="false">
      <c r="A33" s="8" t="s">
        <v>43</v>
      </c>
      <c r="B33" s="9" t="s">
        <v>19</v>
      </c>
      <c r="C33" s="9" t="s">
        <v>19</v>
      </c>
      <c r="D33" s="9" t="s">
        <v>37</v>
      </c>
      <c r="E33" s="9" t="s">
        <v>14</v>
      </c>
      <c r="F33" s="9" t="s">
        <v>13</v>
      </c>
      <c r="G33" s="7" t="n">
        <f aca="false">COUNTIF(B33:F33,"A")+COUNTIF(B33:F33,"A/R")</f>
        <v>1</v>
      </c>
    </row>
    <row r="34" customFormat="false" ht="15" hidden="false" customHeight="false" outlineLevel="0" collapsed="false">
      <c r="A34" s="5" t="s">
        <v>44</v>
      </c>
      <c r="B34" s="6" t="s">
        <v>37</v>
      </c>
      <c r="C34" s="6" t="s">
        <v>19</v>
      </c>
      <c r="D34" s="6" t="s">
        <v>19</v>
      </c>
      <c r="E34" s="6" t="s">
        <v>14</v>
      </c>
      <c r="F34" s="6" t="s">
        <v>13</v>
      </c>
      <c r="G34" s="7" t="n">
        <f aca="false">COUNTIF(B34:F34,"A")+COUNTIF(B34:F34,"A/R")</f>
        <v>1</v>
      </c>
    </row>
    <row r="35" customFormat="false" ht="15" hidden="false" customHeight="false" outlineLevel="0" collapsed="false">
      <c r="A35" s="8" t="s">
        <v>45</v>
      </c>
      <c r="B35" s="9" t="s">
        <v>13</v>
      </c>
      <c r="C35" s="9" t="s">
        <v>11</v>
      </c>
      <c r="D35" s="9" t="s">
        <v>13</v>
      </c>
      <c r="E35" s="9" t="s">
        <v>14</v>
      </c>
      <c r="F35" s="9" t="s">
        <v>14</v>
      </c>
      <c r="G35" s="7" t="n">
        <f aca="false">COUNTIF(B35:F35,"A")+COUNTIF(B35:F35,"A/R")</f>
        <v>1</v>
      </c>
    </row>
    <row r="36" customFormat="false" ht="15" hidden="false" customHeight="false" outlineLevel="0" collapsed="false">
      <c r="A36" s="5" t="s">
        <v>46</v>
      </c>
      <c r="B36" s="6" t="s">
        <v>37</v>
      </c>
      <c r="C36" s="6" t="s">
        <v>19</v>
      </c>
      <c r="D36" s="6" t="s">
        <v>19</v>
      </c>
      <c r="E36" s="6" t="s">
        <v>13</v>
      </c>
      <c r="F36" s="6" t="s">
        <v>13</v>
      </c>
      <c r="G36" s="7" t="n">
        <f aca="false">COUNTIF(B36:F36,"A")+COUNTIF(B36:F36,"A/R")</f>
        <v>1</v>
      </c>
    </row>
    <row r="37" customFormat="false" ht="15" hidden="false" customHeight="false" outlineLevel="0" collapsed="false">
      <c r="A37" s="4" t="s">
        <v>47</v>
      </c>
      <c r="B37" s="4"/>
      <c r="C37" s="4"/>
      <c r="D37" s="4"/>
      <c r="E37" s="4"/>
      <c r="F37" s="4"/>
      <c r="G37" s="4"/>
    </row>
    <row r="38" customFormat="false" ht="15" hidden="false" customHeight="false" outlineLevel="0" collapsed="false">
      <c r="A38" s="5" t="s">
        <v>48</v>
      </c>
      <c r="B38" s="6" t="s">
        <v>19</v>
      </c>
      <c r="C38" s="6" t="s">
        <v>19</v>
      </c>
      <c r="D38" s="6" t="s">
        <v>11</v>
      </c>
      <c r="E38" s="6" t="s">
        <v>12</v>
      </c>
      <c r="F38" s="6" t="s">
        <v>14</v>
      </c>
      <c r="G38" s="7" t="n">
        <f aca="false">COUNTIF(B38:F38,"A")+COUNTIF(B38:F38,"A/R")</f>
        <v>1</v>
      </c>
    </row>
    <row r="39" customFormat="false" ht="15" hidden="false" customHeight="false" outlineLevel="0" collapsed="false">
      <c r="A39" s="8" t="s">
        <v>49</v>
      </c>
      <c r="B39" s="9" t="s">
        <v>12</v>
      </c>
      <c r="C39" s="9" t="s">
        <v>12</v>
      </c>
      <c r="D39" s="9" t="s">
        <v>11</v>
      </c>
      <c r="E39" s="9" t="s">
        <v>13</v>
      </c>
      <c r="F39" s="9" t="s">
        <v>14</v>
      </c>
      <c r="G39" s="7" t="n">
        <f aca="false">COUNTIF(B39:F39,"A")+COUNTIF(B39:F39,"A/R")</f>
        <v>1</v>
      </c>
    </row>
    <row r="40" customFormat="false" ht="15" hidden="false" customHeight="false" outlineLevel="0" collapsed="false">
      <c r="A40" s="5" t="s">
        <v>50</v>
      </c>
      <c r="B40" s="6" t="s">
        <v>11</v>
      </c>
      <c r="C40" s="6" t="s">
        <v>13</v>
      </c>
      <c r="D40" s="6" t="s">
        <v>12</v>
      </c>
      <c r="E40" s="6" t="s">
        <v>14</v>
      </c>
      <c r="F40" s="6" t="s">
        <v>12</v>
      </c>
      <c r="G40" s="7" t="n">
        <f aca="false">COUNTIF(B40:F40,"A")+COUNTIF(B40:F40,"A/R")</f>
        <v>1</v>
      </c>
    </row>
    <row r="41" customFormat="false" ht="15" hidden="false" customHeight="false" outlineLevel="0" collapsed="false">
      <c r="A41" s="8" t="s">
        <v>51</v>
      </c>
      <c r="B41" s="9" t="s">
        <v>12</v>
      </c>
      <c r="C41" s="9" t="s">
        <v>12</v>
      </c>
      <c r="D41" s="9" t="s">
        <v>11</v>
      </c>
      <c r="E41" s="9" t="s">
        <v>13</v>
      </c>
      <c r="F41" s="9" t="s">
        <v>14</v>
      </c>
      <c r="G41" s="7" t="n">
        <f aca="false">COUNTIF(B41:F41,"A")+COUNTIF(B41:F41,"A/R")</f>
        <v>1</v>
      </c>
    </row>
    <row r="42" customFormat="false" ht="15" hidden="false" customHeight="false" outlineLevel="0" collapsed="false">
      <c r="A42" s="5" t="s">
        <v>52</v>
      </c>
      <c r="B42" s="6" t="s">
        <v>12</v>
      </c>
      <c r="C42" s="6" t="s">
        <v>11</v>
      </c>
      <c r="D42" s="6" t="s">
        <v>12</v>
      </c>
      <c r="E42" s="6" t="s">
        <v>13</v>
      </c>
      <c r="F42" s="6" t="s">
        <v>14</v>
      </c>
      <c r="G42" s="7" t="n">
        <f aca="false">COUNTIF(B42:F42,"A")+COUNTIF(B42:F42,"A/R")</f>
        <v>1</v>
      </c>
    </row>
    <row r="43" customFormat="false" ht="15" hidden="false" customHeight="false" outlineLevel="0" collapsed="false">
      <c r="A43" s="8" t="s">
        <v>53</v>
      </c>
      <c r="B43" s="9" t="s">
        <v>11</v>
      </c>
      <c r="C43" s="9" t="s">
        <v>12</v>
      </c>
      <c r="D43" s="9" t="s">
        <v>12</v>
      </c>
      <c r="E43" s="9" t="s">
        <v>13</v>
      </c>
      <c r="F43" s="9" t="s">
        <v>14</v>
      </c>
      <c r="G43" s="7" t="n">
        <f aca="false">COUNTIF(B43:F43,"A")+COUNTIF(B43:F43,"A/R")</f>
        <v>1</v>
      </c>
    </row>
    <row r="44" customFormat="false" ht="15" hidden="false" customHeight="false" outlineLevel="0" collapsed="false">
      <c r="A44" s="5" t="s">
        <v>54</v>
      </c>
      <c r="B44" s="6" t="s">
        <v>12</v>
      </c>
      <c r="C44" s="6" t="s">
        <v>11</v>
      </c>
      <c r="D44" s="6" t="s">
        <v>12</v>
      </c>
      <c r="E44" s="6" t="s">
        <v>13</v>
      </c>
      <c r="F44" s="6" t="s">
        <v>14</v>
      </c>
      <c r="G44" s="7" t="n">
        <f aca="false">COUNTIF(B44:F44,"A")+COUNTIF(B44:F44,"A/R")</f>
        <v>1</v>
      </c>
    </row>
    <row r="45" customFormat="false" ht="15" hidden="false" customHeight="false" outlineLevel="0" collapsed="false">
      <c r="A45" s="8" t="s">
        <v>55</v>
      </c>
      <c r="B45" s="9" t="s">
        <v>11</v>
      </c>
      <c r="C45" s="9" t="s">
        <v>12</v>
      </c>
      <c r="D45" s="9" t="s">
        <v>13</v>
      </c>
      <c r="E45" s="9" t="s">
        <v>12</v>
      </c>
      <c r="F45" s="9" t="s">
        <v>14</v>
      </c>
      <c r="G45" s="7" t="n">
        <f aca="false">COUNTIF(B45:F45,"A")+COUNTIF(B45:F45,"A/R")</f>
        <v>1</v>
      </c>
    </row>
    <row r="46" customFormat="false" ht="15" hidden="false" customHeight="false" outlineLevel="0" collapsed="false">
      <c r="A46" s="5" t="s">
        <v>56</v>
      </c>
      <c r="B46" s="6" t="s">
        <v>13</v>
      </c>
      <c r="C46" s="6" t="s">
        <v>12</v>
      </c>
      <c r="D46" s="6" t="s">
        <v>11</v>
      </c>
      <c r="E46" s="6" t="s">
        <v>13</v>
      </c>
      <c r="F46" s="6" t="s">
        <v>14</v>
      </c>
      <c r="G46" s="7" t="n">
        <f aca="false">COUNTIF(B46:F46,"A")+COUNTIF(B46:F46,"A/R")</f>
        <v>1</v>
      </c>
    </row>
    <row r="47" customFormat="false" ht="15" hidden="false" customHeight="false" outlineLevel="0" collapsed="false">
      <c r="A47" s="8" t="s">
        <v>57</v>
      </c>
      <c r="B47" s="9" t="s">
        <v>12</v>
      </c>
      <c r="C47" s="9" t="s">
        <v>11</v>
      </c>
      <c r="D47" s="9" t="s">
        <v>12</v>
      </c>
      <c r="E47" s="9" t="s">
        <v>13</v>
      </c>
      <c r="F47" s="9" t="s">
        <v>14</v>
      </c>
      <c r="G47" s="7" t="n">
        <f aca="false">COUNTIF(B47:F47,"A")+COUNTIF(B47:F47,"A/R")</f>
        <v>1</v>
      </c>
    </row>
    <row r="48" customFormat="false" ht="15" hidden="false" customHeight="false" outlineLevel="0" collapsed="false">
      <c r="A48" s="5" t="s">
        <v>58</v>
      </c>
      <c r="B48" s="6" t="s">
        <v>11</v>
      </c>
      <c r="C48" s="6" t="s">
        <v>12</v>
      </c>
      <c r="D48" s="6" t="s">
        <v>12</v>
      </c>
      <c r="E48" s="6" t="s">
        <v>13</v>
      </c>
      <c r="F48" s="6" t="s">
        <v>14</v>
      </c>
      <c r="G48" s="7" t="n">
        <f aca="false">COUNTIF(B48:F48,"A")+COUNTIF(B48:F48,"A/R")</f>
        <v>1</v>
      </c>
    </row>
    <row r="49" customFormat="false" ht="15" hidden="false" customHeight="false" outlineLevel="0" collapsed="false">
      <c r="A49" s="8" t="s">
        <v>59</v>
      </c>
      <c r="B49" s="9" t="s">
        <v>12</v>
      </c>
      <c r="C49" s="9" t="s">
        <v>11</v>
      </c>
      <c r="D49" s="9" t="s">
        <v>13</v>
      </c>
      <c r="E49" s="9" t="s">
        <v>13</v>
      </c>
      <c r="F49" s="9" t="s">
        <v>14</v>
      </c>
      <c r="G49" s="7" t="n">
        <f aca="false">COUNTIF(B49:F49,"A")+COUNTIF(B49:F49,"A/R")</f>
        <v>1</v>
      </c>
    </row>
    <row r="50" customFormat="false" ht="15" hidden="false" customHeight="false" outlineLevel="0" collapsed="false">
      <c r="A50" s="5" t="s">
        <v>60</v>
      </c>
      <c r="B50" s="6" t="s">
        <v>13</v>
      </c>
      <c r="C50" s="6" t="s">
        <v>12</v>
      </c>
      <c r="D50" s="6" t="s">
        <v>11</v>
      </c>
      <c r="E50" s="6" t="s">
        <v>13</v>
      </c>
      <c r="F50" s="6" t="s">
        <v>14</v>
      </c>
      <c r="G50" s="7" t="n">
        <f aca="false">COUNTIF(B50:F50,"A")+COUNTIF(B50:F50,"A/R")</f>
        <v>1</v>
      </c>
    </row>
    <row r="51" customFormat="false" ht="15" hidden="false" customHeight="false" outlineLevel="0" collapsed="false">
      <c r="A51" s="8" t="s">
        <v>61</v>
      </c>
      <c r="B51" s="9" t="s">
        <v>11</v>
      </c>
      <c r="C51" s="9" t="s">
        <v>12</v>
      </c>
      <c r="D51" s="9" t="s">
        <v>19</v>
      </c>
      <c r="E51" s="9" t="s">
        <v>13</v>
      </c>
      <c r="F51" s="9" t="s">
        <v>14</v>
      </c>
      <c r="G51" s="7" t="n">
        <f aca="false">COUNTIF(B51:F51,"A")+COUNTIF(B51:F51,"A/R")</f>
        <v>1</v>
      </c>
    </row>
    <row r="52" customFormat="false" ht="15" hidden="false" customHeight="false" outlineLevel="0" collapsed="false">
      <c r="A52" s="5" t="s">
        <v>62</v>
      </c>
      <c r="B52" s="6" t="s">
        <v>13</v>
      </c>
      <c r="C52" s="6" t="s">
        <v>11</v>
      </c>
      <c r="D52" s="6" t="s">
        <v>19</v>
      </c>
      <c r="E52" s="6" t="s">
        <v>13</v>
      </c>
      <c r="F52" s="6" t="s">
        <v>14</v>
      </c>
      <c r="G52" s="7" t="n">
        <f aca="false">COUNTIF(B52:F52,"A")+COUNTIF(B52:F52,"A/R")</f>
        <v>1</v>
      </c>
    </row>
    <row r="53" customFormat="false" ht="15" hidden="false" customHeight="false" outlineLevel="0" collapsed="false">
      <c r="A53" s="8" t="s">
        <v>63</v>
      </c>
      <c r="B53" s="9" t="s">
        <v>19</v>
      </c>
      <c r="C53" s="9" t="s">
        <v>19</v>
      </c>
      <c r="D53" s="9" t="s">
        <v>11</v>
      </c>
      <c r="E53" s="9" t="s">
        <v>12</v>
      </c>
      <c r="F53" s="9" t="s">
        <v>14</v>
      </c>
      <c r="G53" s="7" t="n">
        <f aca="false">COUNTIF(B53:F53,"A")+COUNTIF(B53:F53,"A/R")</f>
        <v>1</v>
      </c>
    </row>
    <row r="54" customFormat="false" ht="15" hidden="false" customHeight="false" outlineLevel="0" collapsed="false">
      <c r="A54" s="5" t="s">
        <v>64</v>
      </c>
      <c r="B54" s="6" t="s">
        <v>12</v>
      </c>
      <c r="C54" s="6" t="s">
        <v>11</v>
      </c>
      <c r="D54" s="6" t="s">
        <v>12</v>
      </c>
      <c r="E54" s="6" t="s">
        <v>13</v>
      </c>
      <c r="F54" s="6" t="s">
        <v>12</v>
      </c>
      <c r="G54" s="7" t="n">
        <f aca="false">COUNTIF(B54:F54,"A")+COUNTIF(B54:F54,"A/R")</f>
        <v>1</v>
      </c>
    </row>
    <row r="55" customFormat="false" ht="15" hidden="false" customHeight="false" outlineLevel="0" collapsed="false">
      <c r="A55" s="8" t="s">
        <v>65</v>
      </c>
      <c r="B55" s="9" t="s">
        <v>11</v>
      </c>
      <c r="C55" s="9" t="s">
        <v>19</v>
      </c>
      <c r="D55" s="9" t="s">
        <v>19</v>
      </c>
      <c r="E55" s="9" t="s">
        <v>12</v>
      </c>
      <c r="F55" s="9" t="s">
        <v>14</v>
      </c>
      <c r="G55" s="7" t="n">
        <f aca="false">COUNTIF(B55:F55,"A")+COUNTIF(B55:F55,"A/R")</f>
        <v>1</v>
      </c>
    </row>
    <row r="56" customFormat="false" ht="15" hidden="false" customHeight="false" outlineLevel="0" collapsed="false">
      <c r="A56" s="4" t="s">
        <v>66</v>
      </c>
      <c r="B56" s="4"/>
      <c r="C56" s="4"/>
      <c r="D56" s="4"/>
      <c r="E56" s="4"/>
      <c r="F56" s="4"/>
      <c r="G56" s="4"/>
    </row>
    <row r="57" customFormat="false" ht="15" hidden="false" customHeight="false" outlineLevel="0" collapsed="false">
      <c r="A57" s="5" t="s">
        <v>67</v>
      </c>
      <c r="B57" s="6" t="s">
        <v>11</v>
      </c>
      <c r="C57" s="6" t="s">
        <v>12</v>
      </c>
      <c r="D57" s="6" t="s">
        <v>12</v>
      </c>
      <c r="E57" s="6" t="s">
        <v>13</v>
      </c>
      <c r="F57" s="6" t="s">
        <v>14</v>
      </c>
      <c r="G57" s="7" t="n">
        <f aca="false">COUNTIF(B57:F57,"A")+COUNTIF(B57:F57,"A/R")</f>
        <v>1</v>
      </c>
    </row>
    <row r="58" customFormat="false" ht="15" hidden="false" customHeight="false" outlineLevel="0" collapsed="false">
      <c r="A58" s="8" t="s">
        <v>68</v>
      </c>
      <c r="B58" s="9" t="s">
        <v>12</v>
      </c>
      <c r="C58" s="9" t="s">
        <v>11</v>
      </c>
      <c r="D58" s="9" t="s">
        <v>12</v>
      </c>
      <c r="E58" s="9" t="s">
        <v>13</v>
      </c>
      <c r="F58" s="9" t="s">
        <v>14</v>
      </c>
      <c r="G58" s="7" t="n">
        <f aca="false">COUNTIF(B58:F58,"A")+COUNTIF(B58:F58,"A/R")</f>
        <v>1</v>
      </c>
    </row>
    <row r="59" customFormat="false" ht="15" hidden="false" customHeight="false" outlineLevel="0" collapsed="false">
      <c r="A59" s="5" t="s">
        <v>69</v>
      </c>
      <c r="B59" s="6" t="s">
        <v>12</v>
      </c>
      <c r="C59" s="6" t="s">
        <v>12</v>
      </c>
      <c r="D59" s="6" t="s">
        <v>11</v>
      </c>
      <c r="E59" s="6" t="s">
        <v>13</v>
      </c>
      <c r="F59" s="6" t="s">
        <v>14</v>
      </c>
      <c r="G59" s="7" t="n">
        <f aca="false">COUNTIF(B59:F59,"A")+COUNTIF(B59:F59,"A/R")</f>
        <v>1</v>
      </c>
    </row>
    <row r="60" customFormat="false" ht="15" hidden="false" customHeight="false" outlineLevel="0" collapsed="false">
      <c r="A60" s="8" t="s">
        <v>70</v>
      </c>
      <c r="B60" s="9" t="s">
        <v>19</v>
      </c>
      <c r="C60" s="9" t="s">
        <v>19</v>
      </c>
      <c r="D60" s="9" t="s">
        <v>19</v>
      </c>
      <c r="E60" s="9" t="s">
        <v>37</v>
      </c>
      <c r="F60" s="9" t="s">
        <v>13</v>
      </c>
      <c r="G60" s="7" t="n">
        <f aca="false">COUNTIF(B60:F60,"A")+COUNTIF(B60:F60,"A/R")</f>
        <v>1</v>
      </c>
    </row>
    <row r="61" customFormat="false" ht="15" hidden="false" customHeight="false" outlineLevel="0" collapsed="false">
      <c r="A61" s="5" t="s">
        <v>71</v>
      </c>
      <c r="B61" s="6" t="s">
        <v>12</v>
      </c>
      <c r="C61" s="6" t="s">
        <v>11</v>
      </c>
      <c r="D61" s="6" t="s">
        <v>12</v>
      </c>
      <c r="E61" s="6" t="s">
        <v>13</v>
      </c>
      <c r="F61" s="6" t="s">
        <v>14</v>
      </c>
      <c r="G61" s="7" t="n">
        <f aca="false">COUNTIF(B61:F61,"A")+COUNTIF(B61:F61,"A/R")</f>
        <v>1</v>
      </c>
    </row>
    <row r="62" customFormat="false" ht="15" hidden="false" customHeight="false" outlineLevel="0" collapsed="false">
      <c r="A62" s="8" t="s">
        <v>72</v>
      </c>
      <c r="B62" s="9" t="s">
        <v>19</v>
      </c>
      <c r="C62" s="9" t="s">
        <v>19</v>
      </c>
      <c r="D62" s="9" t="s">
        <v>19</v>
      </c>
      <c r="E62" s="9" t="s">
        <v>37</v>
      </c>
      <c r="F62" s="9" t="s">
        <v>14</v>
      </c>
      <c r="G62" s="7" t="n">
        <f aca="false">COUNTIF(B62:F62,"A")+COUNTIF(B62:F62,"A/R")</f>
        <v>1</v>
      </c>
    </row>
    <row r="63" customFormat="false" ht="15" hidden="false" customHeight="false" outlineLevel="0" collapsed="false">
      <c r="A63" s="5" t="s">
        <v>73</v>
      </c>
      <c r="B63" s="6" t="s">
        <v>12</v>
      </c>
      <c r="C63" s="6" t="s">
        <v>13</v>
      </c>
      <c r="D63" s="6" t="s">
        <v>13</v>
      </c>
      <c r="E63" s="6" t="s">
        <v>11</v>
      </c>
      <c r="F63" s="6" t="s">
        <v>14</v>
      </c>
      <c r="G63" s="7" t="n">
        <f aca="false">COUNTIF(B63:F63,"A")+COUNTIF(B63:F63,"A/R")</f>
        <v>1</v>
      </c>
    </row>
    <row r="65" customFormat="false" ht="18" hidden="false" customHeight="true" outlineLevel="0" collapsed="false">
      <c r="A65" s="10" t="s">
        <v>74</v>
      </c>
      <c r="B65" s="10"/>
      <c r="C65" s="10"/>
      <c r="D65" s="10"/>
      <c r="E65" s="10"/>
      <c r="F65" s="10"/>
      <c r="G65" s="10"/>
    </row>
    <row r="66" customFormat="false" ht="30" hidden="false" customHeight="true" outlineLevel="0" collapsed="false">
      <c r="A66" s="11" t="s">
        <v>75</v>
      </c>
      <c r="B66" s="11"/>
      <c r="C66" s="11"/>
      <c r="D66" s="11"/>
      <c r="E66" s="11"/>
      <c r="F66" s="11"/>
      <c r="G66" s="11"/>
    </row>
    <row r="67" customFormat="false" ht="30" hidden="false" customHeight="true" outlineLevel="0" collapsed="false">
      <c r="A67" s="11" t="s">
        <v>76</v>
      </c>
      <c r="B67" s="11"/>
      <c r="C67" s="11"/>
      <c r="D67" s="11"/>
      <c r="E67" s="11"/>
      <c r="F67" s="11"/>
      <c r="G67" s="11"/>
    </row>
    <row r="68" customFormat="false" ht="30" hidden="false" customHeight="true" outlineLevel="0" collapsed="false">
      <c r="A68" s="11" t="s">
        <v>77</v>
      </c>
      <c r="B68" s="11"/>
      <c r="C68" s="11"/>
      <c r="D68" s="11"/>
      <c r="E68" s="11"/>
      <c r="F68" s="11"/>
      <c r="G68" s="11"/>
    </row>
    <row r="69" customFormat="false" ht="30" hidden="false" customHeight="true" outlineLevel="0" collapsed="false">
      <c r="A69" s="11" t="s">
        <v>78</v>
      </c>
      <c r="B69" s="11"/>
      <c r="C69" s="11"/>
      <c r="D69" s="11"/>
      <c r="E69" s="11"/>
      <c r="F69" s="11"/>
      <c r="G69" s="11"/>
    </row>
    <row r="70" customFormat="false" ht="30" hidden="false" customHeight="true" outlineLevel="0" collapsed="false">
      <c r="A70" s="11" t="s">
        <v>79</v>
      </c>
      <c r="B70" s="11"/>
      <c r="C70" s="11"/>
      <c r="D70" s="11"/>
      <c r="E70" s="11"/>
      <c r="F70" s="11"/>
      <c r="G70" s="11"/>
    </row>
  </sheetData>
  <mergeCells count="11">
    <mergeCell ref="A5:G5"/>
    <mergeCell ref="A21:G21"/>
    <mergeCell ref="A29:G29"/>
    <mergeCell ref="A37:G37"/>
    <mergeCell ref="A56:G56"/>
    <mergeCell ref="A65:G65"/>
    <mergeCell ref="A66:G66"/>
    <mergeCell ref="A67:G67"/>
    <mergeCell ref="A68:G68"/>
    <mergeCell ref="A69:G69"/>
    <mergeCell ref="A70:G70"/>
  </mergeCells>
  <conditionalFormatting sqref="B5:F63">
    <cfRule type="expression" priority="2" aboveAverage="0" equalAverage="0" bottom="0" percent="0" rank="0" text="" dxfId="0">
      <formula>B5="A/R"</formula>
    </cfRule>
    <cfRule type="expression" priority="3" aboveAverage="0" equalAverage="0" bottom="0" percent="0" rank="0" text="" dxfId="1">
      <formula>B5="A"</formula>
    </cfRule>
    <cfRule type="expression" priority="4" aboveAverage="0" equalAverage="0" bottom="0" percent="0" rank="0" text="" dxfId="2">
      <formula>B5="R"</formula>
    </cfRule>
    <cfRule type="expression" priority="5" aboveAverage="0" equalAverage="0" bottom="0" percent="0" rank="0" text="" dxfId="3">
      <formula>B5="C"</formula>
    </cfRule>
    <cfRule type="expression" priority="6" aboveAverage="0" equalAverage="0" bottom="0" percent="0" rank="0" text="" dxfId="4">
      <formula>B5="I"</formula>
    </cfRule>
  </conditionalFormatting>
  <conditionalFormatting sqref="G5:G63">
    <cfRule type="expression" priority="7" aboveAverage="0" equalAverage="0" bottom="0" percent="0" rank="0" text="" dxfId="5">
      <formula>AND(G5&lt;&gt;"",G5&lt;&gt;1)</formula>
    </cfRule>
  </conditionalFormatting>
  <dataValidations count="1">
    <dataValidation allowBlank="true" errorStyle="stop" operator="between" showDropDown="false" showErrorMessage="false" showInputMessage="false" sqref="B6:F20 B22:F28 B30:F36 B38:F55 B57:F63" type="list">
      <formula1>"R,A,A/R,C,I,-"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40"/>
    <col collapsed="false" customWidth="true" hidden="false" outlineLevel="0" max="3" min="3" style="0" width="32"/>
  </cols>
  <sheetData>
    <row r="1" customFormat="false" ht="15" hidden="false" customHeight="false" outlineLevel="0" collapsed="false">
      <c r="A1" s="12" t="s">
        <v>80</v>
      </c>
      <c r="B1" s="12" t="s">
        <v>81</v>
      </c>
      <c r="C1" s="12" t="s">
        <v>82</v>
      </c>
    </row>
    <row r="2" customFormat="false" ht="15" hidden="false" customHeight="false" outlineLevel="0" collapsed="false">
      <c r="A2" s="13" t="s">
        <v>19</v>
      </c>
      <c r="B2" s="14" t="s">
        <v>83</v>
      </c>
      <c r="C2" s="14" t="s">
        <v>84</v>
      </c>
    </row>
    <row r="3" customFormat="false" ht="15" hidden="false" customHeight="false" outlineLevel="0" collapsed="false">
      <c r="A3" s="13" t="s">
        <v>37</v>
      </c>
      <c r="B3" s="14" t="s">
        <v>85</v>
      </c>
      <c r="C3" s="14" t="s">
        <v>86</v>
      </c>
    </row>
    <row r="4" customFormat="false" ht="15" hidden="false" customHeight="false" outlineLevel="0" collapsed="false">
      <c r="A4" s="13" t="s">
        <v>11</v>
      </c>
      <c r="B4" s="14" t="s">
        <v>87</v>
      </c>
      <c r="C4" s="14" t="s">
        <v>88</v>
      </c>
    </row>
    <row r="5" customFormat="false" ht="15" hidden="false" customHeight="false" outlineLevel="0" collapsed="false">
      <c r="A5" s="13" t="s">
        <v>12</v>
      </c>
      <c r="B5" s="14" t="s">
        <v>89</v>
      </c>
      <c r="C5" s="14" t="s">
        <v>90</v>
      </c>
    </row>
    <row r="6" customFormat="false" ht="15" hidden="false" customHeight="false" outlineLevel="0" collapsed="false">
      <c r="A6" s="13" t="s">
        <v>13</v>
      </c>
      <c r="B6" s="14" t="s">
        <v>91</v>
      </c>
      <c r="C6" s="14" t="s">
        <v>92</v>
      </c>
    </row>
    <row r="7" customFormat="false" ht="15" hidden="false" customHeight="false" outlineLevel="0" collapsed="false">
      <c r="A7" s="13" t="s">
        <v>14</v>
      </c>
      <c r="B7" s="14" t="s">
        <v>93</v>
      </c>
      <c r="C7" s="1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2026-10-27T23:23:00Z</dcterms:created>
  <dc:creator>Equipo Kronos AI</dc:creator>
  <dc:description/>
  <dc:language>en-US</dc:language>
  <cp:lastModifiedBy>Equipo Kronos AI</cp:lastModifiedBy>
  <dcterms:modified xsi:type="dcterms:W3CDTF">2026-10-27T23:23:00Z</dcterms:modified>
  <cp:revision>0</cp:revision>
  <dc:subject/>
  <dc:title>1.8 Matriz RACI · Kronos AI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