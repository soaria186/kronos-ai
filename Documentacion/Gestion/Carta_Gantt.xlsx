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rta Gantt" sheetId="1" state="visible" r:id="rId3"/>
    <sheet name="Sprints" sheetId="2" state="visible" r:id="rId4"/>
    <sheet name="Hitos" sheetId="3" state="visible" r:id="rId5"/>
    <sheet name="Notas y fuentes" sheetId="4" state="visible" r:id="rId6"/>
  </sheets>
  <definedNames>
    <definedName function="false" hidden="false" localSheetId="0" name="_xlnm.Print_Titles" vbProcedure="false">'Carta Gantt'!$7:$10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<sst xmlns="http://schemas.openxmlformats.org/spreadsheetml/2006/main" count="417" uniqueCount="155">
  <si>
    <t xml:space="preserve">Kronos AI · Carta Gantt del proyecto</t>
  </si>
  <si>
    <t xml:space="preserve">Proyecto de título · Ingeniería en Informática · Duoc UC · 10-08-2026 al 13-12-2026 · Scrum: tres fases académicas de 18 semanas y sprints de dos semanas</t>
  </si>
  <si>
    <t xml:space="preserve">Inicio de la semana 1 (kick-off)</t>
  </si>
  <si>
    <t xml:space="preserve">Leyenda</t>
  </si>
  <si>
    <t xml:space="preserve">Completado</t>
  </si>
  <si>
    <t xml:space="preserve">◆ Hito cumplido</t>
  </si>
  <si>
    <t xml:space="preserve">Fecha de corte de esta versión</t>
  </si>
  <si>
    <t xml:space="preserve">En curso</t>
  </si>
  <si>
    <t xml:space="preserve">◇ Hito por cumplir</t>
  </si>
  <si>
    <t xml:space="preserve">Actividades completadas</t>
  </si>
  <si>
    <t xml:space="preserve">Planificado</t>
  </si>
  <si>
    <t xml:space="preserve">Semana de corte</t>
  </si>
  <si>
    <t xml:space="preserve">Las celdas amarillas se pueden editar; las barras, los sprints y el avance se recalculan solos.</t>
  </si>
  <si>
    <t xml:space="preserve">Fase</t>
  </si>
  <si>
    <t xml:space="preserve">Fase 1</t>
  </si>
  <si>
    <t xml:space="preserve">Fase 2 · Desarrollo</t>
  </si>
  <si>
    <t xml:space="preserve">Fase 3</t>
  </si>
  <si>
    <t xml:space="preserve">Sprint</t>
  </si>
  <si>
    <t xml:space="preserve">Semana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</si>
  <si>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</si>
  <si>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</si>
  <si>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</si>
  <si>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</si>
  <si>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</si>
  <si>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</si>
  <si>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</si>
  <si>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</si>
  <si>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</si>
  <si>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</si>
  <si>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</si>
  <si>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</si>
  <si>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</si>
  <si>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</si>
  <si>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</si>
  <si>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</si>
  <si>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S17</t>
  </si>
  <si>
    <t xml:space="preserve">S18</t>
  </si>
  <si>
    <t xml:space="preserve">N°</t>
  </si>
  <si>
    <t xml:space="preserve">Actividad</t>
  </si>
  <si>
    <t xml:space="preserve">Responsable</t>
  </si>
  <si>
    <t xml:space="preserve">Inicio</t>
  </si>
  <si>
    <t xml:space="preserve">Fin</t>
  </si>
  <si>
    <t xml:space="preserve">Días</t>
  </si>
  <si>
    <t xml:space="preserve">Tipo</t>
  </si>
  <si>
    <t xml:space="preserve">Estado</t>
  </si>
  <si>
    <t xml:space="preserve">Fase 1 · Definición del proyecto</t>
  </si>
  <si>
    <t xml:space="preserve">Kick-off con el profesor guía</t>
  </si>
  <si>
    <t xml:space="preserve">—</t>
  </si>
  <si>
    <t xml:space="preserve">Equipo</t>
  </si>
  <si>
    <t xml:space="preserve">Hito</t>
  </si>
  <si>
    <t xml:space="preserve">Definición del problema, objetivos, arquitectura y catálogo de 25 playbooks</t>
  </si>
  <si>
    <t xml:space="preserve">Tarea</t>
  </si>
  <si>
    <t xml:space="preserve">Primera presentación del proyecto</t>
  </si>
  <si>
    <t xml:space="preserve">Guía de definición, Formativa Fase 1, autoevaluaciones y diarios de reflexión</t>
  </si>
  <si>
    <t xml:space="preserve">Presentación de la Fase 1</t>
  </si>
  <si>
    <t xml:space="preserve">Prototipo en laboratorio local, etapas 1 a 4 (anfitrión, datos, monitoreo e IA)</t>
  </si>
  <si>
    <t xml:space="preserve">Fase 1 a Fase 2</t>
  </si>
  <si>
    <t xml:space="preserve">Nicolás, Rodrigo y Patricio</t>
  </si>
  <si>
    <t xml:space="preserve">Fase 2 · Sprint 1 · Infraestructura en la nube</t>
  </si>
  <si>
    <t xml:space="preserve">Replanteamiento como servicio en la nube</t>
  </si>
  <si>
    <t xml:space="preserve">Fase 2</t>
  </si>
  <si>
    <t xml:space="preserve">Sprint 1</t>
  </si>
  <si>
    <t xml:space="preserve">Servidor SOAR-CORE-01: Contabo, NetBird, Docker y Wazuh 4.14.8</t>
  </si>
  <si>
    <t xml:space="preserve">Nicolás</t>
  </si>
  <si>
    <t xml:space="preserve">Fase 2 · Sprint 2 · Núcleo de decisión</t>
  </si>
  <si>
    <t xml:space="preserve">Repositorio nuevo e integración continua (gitleaks, ruff y R1)</t>
  </si>
  <si>
    <t xml:space="preserve">Sprint 2</t>
  </si>
  <si>
    <t xml:space="preserve">Rodrigo</t>
  </si>
  <si>
    <t xml:space="preserve">Modelo de datos y auditoría con cadena de hash; respaldo cifrado y restauración probada</t>
  </si>
  <si>
    <t xml:space="preserve">Clasificador con IA local (qwen2.5:7b): prompts en dos pasos y mediciones con 150 casos</t>
  </si>
  <si>
    <t xml:space="preserve">Patricio</t>
  </si>
  <si>
    <t xml:space="preserve">Detección: Wazuh y 15 reglas de sobre</t>
  </si>
  <si>
    <t xml:space="preserve">Servicio VALIDATE: chequeos, configuración, lectura de alertas y servicio</t>
  </si>
  <si>
    <t xml:space="preserve">Servicios EXECUTE y NOTIFY, y despliegue con Docker</t>
  </si>
  <si>
    <t xml:space="preserve">Consola web para revisar tickets y aprobaciones</t>
  </si>
  <si>
    <t xml:space="preserve">Documentos del proyecto: entrega de los 31 documentos</t>
  </si>
  <si>
    <t xml:space="preserve">Entrega de documentos</t>
  </si>
  <si>
    <t xml:space="preserve">Guía de desarrollo, diario de reflexión, Formativa de avance y autoevaluaciones de la Fase 2</t>
  </si>
  <si>
    <t xml:space="preserve">Laboratorio de la PyME simulada: EP-SRV-01 y EP-WKS-01 con agentes Wazuh</t>
  </si>
  <si>
    <t xml:space="preserve">Fase 2 · Sprint 3 · Respuesta, niveles y versión 1.0</t>
  </si>
  <si>
    <t xml:space="preserve">Primer ticket de punta a punta con alertas reales</t>
  </si>
  <si>
    <t xml:space="preserve">Sprint 3</t>
  </si>
  <si>
    <t xml:space="preserve">Respuesta activa: bloqueo de IP en Linux y Windows, reversión a los 60 minutos</t>
  </si>
  <si>
    <t xml:space="preserve">Nicolás y Rodrigo</t>
  </si>
  <si>
    <t xml:space="preserve">Retención de alertas, tickets huérfanos y mejoras de VALIDATE</t>
  </si>
  <si>
    <t xml:space="preserve">Rodrigo y Patricio</t>
  </si>
  <si>
    <t xml:space="preserve">Avisos por Telegram con verificación en dos pasos</t>
  </si>
  <si>
    <t xml:space="preserve">Punto de encuentro 1 (decisiones D-44 a D-56)</t>
  </si>
  <si>
    <t xml:space="preserve">Replanteamiento para PyMEs y arranque de la semana de cierre</t>
  </si>
  <si>
    <t xml:space="preserve">Repositorio ordenado por fases, README, diagramas, avisos claros y catálogo 1.0</t>
  </si>
  <si>
    <t xml:space="preserve">Guía de instalación en 15 partes: revisión de cada parte</t>
  </si>
  <si>
    <t xml:space="preserve">Scripts de Windows (deshabilitar cuenta y aislar equipo) y EXECUTE con .cmd</t>
  </si>
  <si>
    <t xml:space="preserve">Cortacircuito por alertas recibidas y prueba de estrés (E6)</t>
  </si>
  <si>
    <t xml:space="preserve">Servidor como clon de git y versión candidata v1.0.0-rc1</t>
  </si>
  <si>
    <t xml:space="preserve">Prueba de los scripts de Windows en EP-WKS-01</t>
  </si>
  <si>
    <t xml:space="preserve">Prueba integral, escenarios E1 a E7 (punto de encuentro 2)</t>
  </si>
  <si>
    <t xml:space="preserve">Los 31 documentos actualizados, informe final y manual del encargado de TI</t>
  </si>
  <si>
    <t xml:space="preserve">Presentación y video de respaldo de la demostración (borrador)</t>
  </si>
  <si>
    <t xml:space="preserve">Versión 1.0.0: etiqueta en main y notas de la versión</t>
  </si>
  <si>
    <t xml:space="preserve">Fase 2 · Sprint 4 · Estabilización y estudio cruzado</t>
  </si>
  <si>
    <t xml:space="preserve">Prueba con un encargado de TI, corrección de errores e informe en limpio</t>
  </si>
  <si>
    <t xml:space="preserve">Sprint 4</t>
  </si>
  <si>
    <t xml:space="preserve">Estudio cruzado, banco de preguntas de la comisión y primer simulacro</t>
  </si>
  <si>
    <t xml:space="preserve">Fase 2 · Sprint 5 · Ensayos y congelamiento</t>
  </si>
  <si>
    <t xml:space="preserve">Ensayo con el profesor guía y ajustes a la presentación</t>
  </si>
  <si>
    <t xml:space="preserve">Sprint 5</t>
  </si>
  <si>
    <t xml:space="preserve">Ensayos cronometrados; revisión del servidor, los agentes y los respaldos; congelamiento</t>
  </si>
  <si>
    <t xml:space="preserve">Fase 3 · Cierre y defensa</t>
  </si>
  <si>
    <t xml:space="preserve">Defensa ante la comisión (fecha exacta por confirmar)</t>
  </si>
  <si>
    <t xml:space="preserve">Cierre: retiro de la PyME simulada, respaldo final y entrega del servidor</t>
  </si>
  <si>
    <t xml:space="preserve">Transversal</t>
  </si>
  <si>
    <t xml:space="preserve">Gestión Scrum: planificación y revisión de sprints, avance diario y registros de trabajo</t>
  </si>
  <si>
    <t xml:space="preserve">Todas</t>
  </si>
  <si>
    <t xml:space="preserve">Pruebas unitarias e integración continua con revisión cruzada de pull requests</t>
  </si>
  <si>
    <t xml:space="preserve">Objetivo</t>
  </si>
  <si>
    <t xml:space="preserve">Semanas del curso</t>
  </si>
  <si>
    <t xml:space="preserve">Incremento entregado</t>
  </si>
  <si>
    <t xml:space="preserve">Pull requests</t>
  </si>
  <si>
    <t xml:space="preserve">Infraestructura en la nube</t>
  </si>
  <si>
    <t xml:space="preserve">Servidor SOAR-CORE-01 (Contabo) con NetBird, Docker y Wazuh 4.14.8</t>
  </si>
  <si>
    <t xml:space="preserve">Núcleo de decisión</t>
  </si>
  <si>
    <t xml:space="preserve">Base de auditoría, clasificador con IA local, VALIDATE, EXECUTE, NOTIFY, consola web, respaldo y CI</t>
  </si>
  <si>
    <t xml:space="preserve">#1 a #30</t>
  </si>
  <si>
    <t xml:space="preserve">Respuesta, niveles y versión 1.0</t>
  </si>
  <si>
    <t xml:space="preserve">Respuesta activa con reversión, avisos por Telegram, scripts de Windows, prueba integral E1 a E7 y versión 1.0.0</t>
  </si>
  <si>
    <t xml:space="preserve">#31 a #38 y #75 a #84</t>
  </si>
  <si>
    <t xml:space="preserve">Estabilización y estudio cruzado</t>
  </si>
  <si>
    <t xml:space="preserve">Prueba con un encargado de TI, corrección de errores, informe en limpio y primer simulacro</t>
  </si>
  <si>
    <t xml:space="preserve">Ensayos y congelamiento</t>
  </si>
  <si>
    <t xml:space="preserve">Ensayo con el profesor guía, ensayos cronometrados y sistema congelado para la defensa</t>
  </si>
  <si>
    <t xml:space="preserve">Cada sprint dura dos semanas y termina con un incremento probado e integrado (pull request con revisión cruzada y pruebas automáticas en verde). Antes del Sprint 1, la Fase 1 definió el proyecto y validó el diseño con un prototipo en laboratorio local.</t>
  </si>
  <si>
    <t xml:space="preserve">Fecha</t>
  </si>
  <si>
    <t xml:space="preserve">Evidencia</t>
  </si>
  <si>
    <t xml:space="preserve">Inicio del proyecto</t>
  </si>
  <si>
    <t xml:space="preserve">Presentación «Proyecto KRONOS»</t>
  </si>
  <si>
    <t xml:space="preserve">Guion de 10 minutos</t>
  </si>
  <si>
    <t xml:space="preserve">Inicio del Sprint 1</t>
  </si>
  <si>
    <t xml:space="preserve">31 documentos entregados</t>
  </si>
  <si>
    <t xml:space="preserve">Ticket 20</t>
  </si>
  <si>
    <t xml:space="preserve">Acta del 21-10</t>
  </si>
  <si>
    <t xml:space="preserve">Plan del 26-10</t>
  </si>
  <si>
    <t xml:space="preserve">Issue #40</t>
  </si>
  <si>
    <t xml:space="preserve">Issue #62</t>
  </si>
  <si>
    <t xml:space="preserve">Cómo se lee</t>
  </si>
  <si>
    <t xml:space="preserve">Cada fila es una actividad; las celdas de color marcan las semanas en que ocurre. El color dice su estado (verde: completado; naranja: en curso; azul: planificado) y ◆ marca un hito cumplido (◇, uno por cumplir). La columna roja es la semana de la fecha de corte.</t>
  </si>
  <si>
    <t xml:space="preserve">Las semanas S1 a S18 siguen el formato de la carta Gantt de la Guía de definición del proyecto APT (Duoc): Fase 1 en S1 a S4, Fase 2 en S5 a S16 y Fase 3 en S17 y S18. La semana 1 empieza el lunes del kick-off (10-08-2026).</t>
  </si>
  <si>
    <t xml:space="preserve">Para actualizarla: cambiar la fecha de corte (C4 de la hoja Carta Gantt) y el estado o las fechas de cada actividad (columnas F, G y J). Las barras, la fila de sprints y el avance se recalculan solos.</t>
  </si>
  <si>
    <t xml:space="preserve">Supuestos</t>
  </si>
  <si>
    <t xml:space="preserve">Las fechas del prototipo en laboratorio local (agosto y septiembre) y de los documentos de avance de la Fase 2 son aproximadas: el repositorio actual se creó el 06-10 y esas actividades no tienen commits.</t>
  </si>
  <si>
    <t xml:space="preserve">Sprint 4, Sprint 5 y Fase 3 son la planificación del plan del 26-10 (sección 10). La fecha exacta de la defensa está por confirmar; se usa la primera semana de diciembre. El contrato del servidor vence el 10-12.</t>
  </si>
  <si>
    <t xml:space="preserve">Las fechas de las actividades del repositorio salen del historial de git: la fecha en que se mezcló cada pull request.</t>
  </si>
  <si>
    <t xml:space="preserve">Fuentes</t>
  </si>
  <si>
    <t xml:space="preserve">Repositorio soarai2026/kronos-ai: historial de git y pull requests #1 a #84; Fase 2/Avances/CHANGELOG.md.</t>
  </si>
  <si>
    <t xml:space="preserve">Fase 2/Avances/docs/registro: plan del 26-10 (secciones 7 y 10), tareas del 21 y 26-10, acta del 21-10, registros de trabajo del 15 al 21-10 y registro de decisiones.</t>
  </si>
  <si>
    <t xml:space="preserve">Fase 1 y Fase 2 (README y documentación grupal): Guía de definición del proyecto APT, Formativa Fase 1, Guía de desarrollo del proyecto y Formativa de avance de la Fase 2.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</si>
</sst>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\-yyyy"/>
    <numFmt numFmtId="166" formatCode="0%"/>
    <numFmt numFmtId="167" formatCode="dd\-mm"/>
    <numFmt numFmtId="168" formatCode="dd\-mm\-yy"/>
    <numFmt numFmtId="169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1F1D"/>
      <name val="Arial"/>
      <family val="0"/>
      <charset val="1"/>
    </font>
    <font>
      <sz val="10"/>
      <color rgb="FF52514E"/>
      <name val="Arial"/>
      <family val="0"/>
      <charset val="1"/>
    </font>
    <font>
      <b val="true"/>
      <sz val="10"/>
      <color rgb="FF1F1F1D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F1F1D"/>
      <name val="Arial"/>
      <family val="0"/>
      <charset val="1"/>
    </font>
    <font>
      <i val="true"/>
      <sz val="9"/>
      <color rgb="FF52514E"/>
      <name val="Arial"/>
      <family val="0"/>
      <charset val="1"/>
    </font>
    <font>
      <sz val="8"/>
      <color rgb="FF52514E"/>
      <name val="Arial"/>
      <family val="0"/>
      <charset val="1"/>
    </font>
    <font>
      <sz val="7"/>
      <color rgb="FF52514E"/>
      <name val="Arial"/>
      <family val="0"/>
      <charset val="1"/>
    </font>
    <font>
      <b val="true"/>
      <sz val="8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9"/>
      <color rgb="FF1F1F1D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1F1D"/>
      <name val="Arial"/>
      <family val="0"/>
      <charset val="1"/>
    </font>
    <font>
      <b val="true"/>
      <sz val="11"/>
      <color rgb="FF1F1F1D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BAF7A"/>
        <bgColor rgb="FF33CCCC"/>
      </patternFill>
    </fill>
    <fill>
      <patternFill patternType="solid">
        <fgColor rgb="FFEB6834"/>
        <bgColor rgb="FFFF8080"/>
      </patternFill>
    </fill>
    <fill>
      <patternFill patternType="solid">
        <fgColor rgb="FF2A78D6"/>
        <bgColor rgb="FF0066CC"/>
      </patternFill>
    </fill>
    <fill>
      <patternFill patternType="solid">
        <fgColor rgb="FFD03B3B"/>
        <bgColor rgb="FF993366"/>
      </patternFill>
    </fill>
    <fill>
      <patternFill patternType="solid">
        <fgColor rgb="FFE8F1FB"/>
        <bgColor rgb="FFEAF6F0"/>
      </patternFill>
    </fill>
    <fill>
      <patternFill patternType="solid">
        <fgColor rgb="FFEAF6F0"/>
        <bgColor rgb="FFE8F1FB"/>
      </patternFill>
    </fill>
    <fill>
      <patternFill patternType="solid">
        <fgColor rgb="FFFDEEE6"/>
        <bgColor rgb="FFFBE3E3"/>
      </patternFill>
    </fill>
    <fill>
      <patternFill patternType="solid">
        <fgColor rgb="FF3A3A37"/>
        <bgColor rgb="FF52514E"/>
      </patternFill>
    </fill>
    <fill>
      <patternFill patternType="solid">
        <fgColor rgb="FFEDECE7"/>
        <bgColor rgb="FFE8F1FB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9D8D2"/>
      </left>
      <right style="thin">
        <color rgb="FFD9D8D2"/>
      </right>
      <top style="thin">
        <color rgb="FFD9D8D2"/>
      </top>
      <bottom style="thin">
        <color rgb="FFD9D8D2"/>
      </bottom>
      <diagonal/>
    </border>
    <border diagonalUp="false" diagonalDown="false">
      <left style="thin">
        <color rgb="FFD9D8D2"/>
      </left>
      <right/>
      <top style="thin">
        <color rgb="FFD9D8D2"/>
      </top>
      <bottom style="thin">
        <color rgb="FFD9D8D2"/>
      </bottom>
      <diagonal/>
    </border>
    <border diagonalUp="false" diagonalDown="false">
      <left/>
      <right/>
      <top style="thin">
        <color rgb="FFD9D8D2"/>
      </top>
      <bottom style="thin">
        <color rgb="FFD9D8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10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6" fillId="11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1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>
          <bgColor rgb="FF1BAF7A"/>
        </patternFill>
      </fill>
    </dxf>
    <dxf>
      <fill>
        <patternFill>
          <bgColor rgb="FFEB6834"/>
        </patternFill>
      </fill>
    </dxf>
    <dxf>
      <fill>
        <patternFill>
          <bgColor rgb="FF2A78D6"/>
        </patternFill>
      </fill>
    </dxf>
    <dxf>
      <fill>
        <patternFill>
          <bgColor rgb="FFFBE3E3"/>
        </patternFill>
      </fill>
    </dxf>
    <dxf>
      <font>
        <b val="1"/>
        <color rgb="FFFFFFFF"/>
      </font>
      <fill>
        <patternFill>
          <bgColor rgb="FFD03B3B"/>
        </patternFill>
      </fill>
    </dxf>
    <dxf>
      <font>
        <b val="1"/>
        <color rgb="FF1BAF7A"/>
      </font>
    </dxf>
    <dxf>
      <font>
        <b val="1"/>
        <color rgb="FFEB6834"/>
      </font>
    </dxf>
    <dxf>
      <font>
        <b val="1"/>
        <color rgb="FF2A78D6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D03B3B"/>
      <rgbColor rgb="FFFDEEE6"/>
      <rgbColor rgb="FFEAF6F0"/>
      <rgbColor rgb="FF660066"/>
      <rgbColor rgb="FFFF8080"/>
      <rgbColor rgb="FF0066CC"/>
      <rgbColor rgb="FFD9D8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1FB"/>
      <rgbColor rgb="FFEDECE7"/>
      <rgbColor rgb="FFFFFF99"/>
      <rgbColor rgb="FF99CCFF"/>
      <rgbColor rgb="FFFF99CC"/>
      <rgbColor rgb="FFCC99FF"/>
      <rgbColor rgb="FFFBE3E3"/>
      <rgbColor rgb="FF2A78D6"/>
      <rgbColor rgb="FF33CCCC"/>
      <rgbColor rgb="FF99CC00"/>
      <rgbColor rgb="FFFFCC00"/>
      <rgbColor rgb="FFFF9900"/>
      <rgbColor rgb="FFEB6834"/>
      <rgbColor rgb="FF52514E"/>
      <rgbColor rgb="FF969696"/>
      <rgbColor rgb="FF003366"/>
      <rgbColor rgb="FF1BAF7A"/>
      <rgbColor rgb="FF003300"/>
      <rgbColor rgb="FF1F1F1D"/>
      <rgbColor rgb="FF993300"/>
      <rgbColor rgb="FF993366"/>
      <rgbColor rgb="FF333399"/>
      <rgbColor rgb="FF3A3A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6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0" topLeftCell="K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62"/>
    <col collapsed="false" customWidth="true" hidden="false" outlineLevel="0" max="3" min="3" style="0" width="13"/>
    <col collapsed="false" customWidth="true" hidden="false" outlineLevel="0" max="4" min="4" style="0" width="9"/>
    <col collapsed="false" customWidth="true" hidden="false" outlineLevel="0" max="5" min="5" style="0" width="20"/>
    <col collapsed="false" customWidth="true" hidden="false" outlineLevel="0" max="7" min="6" style="0" width="9.51"/>
    <col collapsed="false" customWidth="true" hidden="false" outlineLevel="0" max="8" min="8" style="0" width="5.51"/>
    <col collapsed="false" customWidth="true" hidden="false" outlineLevel="0" max="9" min="9" style="0" width="6.51"/>
    <col collapsed="false" customWidth="true" hidden="false" outlineLevel="0" max="10" min="10" style="0" width="11.5"/>
    <col collapsed="false" customWidth="true" hidden="false" outlineLevel="0" max="28" min="11" style="0" width="4.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B3" s="3" t="s">
        <v>2</v>
      </c>
      <c r="C3" s="4" t="n">
        <v>46244</v>
      </c>
      <c r="D3" s="5" t="s">
        <v>3</v>
      </c>
      <c r="E3" s="6" t="s">
        <v>4</v>
      </c>
      <c r="F3" s="7" t="s">
        <v>5</v>
      </c>
      <c r="G3" s="7"/>
    </row>
    <row r="4" customFormat="false" ht="15" hidden="false" customHeight="false" outlineLevel="0" collapsed="false">
      <c r="B4" s="3" t="s">
        <v>6</v>
      </c>
      <c r="C4" s="4" t="n">
        <v>46321</v>
      </c>
      <c r="E4" s="8" t="s">
        <v>7</v>
      </c>
      <c r="F4" s="7" t="s">
        <v>8</v>
      </c>
      <c r="G4" s="7"/>
    </row>
    <row r="5" customFormat="false" ht="15" hidden="false" customHeight="false" outlineLevel="0" collapsed="false">
      <c r="B5" s="3" t="s">
        <v>9</v>
      </c>
      <c r="C5" s="9" t="n">
        <f aca="false">COUNTIF(J11:J61,"Completado")/COUNT(A11:A61)</f>
        <v>0.604651162790698</v>
      </c>
      <c r="D5" s="2" t="str">
        <f aca="false">COUNTIF(J11:J61,"Completado")&amp;" de "&amp;COUNT(A11:A61)</f>
        <v>26 de 43</v>
      </c>
      <c r="E5" s="10" t="s">
        <v>10</v>
      </c>
      <c r="F5" s="11" t="s">
        <v>11</v>
      </c>
      <c r="G5" s="11"/>
    </row>
    <row r="6" customFormat="false" ht="15" hidden="false" customHeight="false" outlineLevel="0" collapsed="false">
      <c r="B6" s="12" t="s">
        <v>12</v>
      </c>
    </row>
    <row r="7" customFormat="false" ht="15" hidden="false" customHeight="false" outlineLevel="0" collapsed="false">
      <c r="J7" s="13" t="s">
        <v>13</v>
      </c>
      <c r="K7" s="14" t="s">
        <v>14</v>
      </c>
      <c r="L7" s="14"/>
      <c r="M7" s="14"/>
      <c r="N7" s="14"/>
      <c r="O7" s="15" t="s">
        <v>15</v>
      </c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6" t="s">
        <v>16</v>
      </c>
      <c r="AB7" s="16"/>
    </row>
    <row r="8" customFormat="false" ht="15" hidden="false" customHeight="false" outlineLevel="0" collapsed="false">
      <c r="J8" s="13" t="s">
        <v>17</v>
      </c>
      <c r="K8" s="17" t="str">
        <f aca="false">IFERROR(LOOKUP(2,1/((Sprints!$C$2:$C$6&lt;=K$10+2)*(Sprints!$D$2:$D$6&gt;=K$10+2)),SUBSTITUTE(Sprints!$A$2:$A$6,"Sprint ","Sp")),"")</f>
        <v/>
      </c>
      <c r="L8" s="17" t="str">
        <f aca="false">IFERROR(LOOKUP(2,1/((Sprints!$C$2:$C$6&lt;=L$10+2)*(Sprints!$D$2:$D$6&gt;=L$10+2)),SUBSTITUTE(Sprints!$A$2:$A$6,"Sprint ","Sp")),"")</f>
        <v/>
      </c>
      <c r="M8" s="17" t="str">
        <f aca="false">IFERROR(LOOKUP(2,1/((Sprints!$C$2:$C$6&lt;=M$10+2)*(Sprints!$D$2:$D$6&gt;=M$10+2)),SUBSTITUTE(Sprints!$A$2:$A$6,"Sprint ","Sp")),"")</f>
        <v/>
      </c>
      <c r="N8" s="17" t="str">
        <f aca="false">IFERROR(LOOKUP(2,1/((Sprints!$C$2:$C$6&lt;=N$10+2)*(Sprints!$D$2:$D$6&gt;=N$10+2)),SUBSTITUTE(Sprints!$A$2:$A$6,"Sprint ","Sp")),"")</f>
        <v/>
      </c>
      <c r="O8" s="17" t="str">
        <f aca="false">IFERROR(LOOKUP(2,1/((Sprints!$C$2:$C$6&lt;=O$10+2)*(Sprints!$D$2:$D$6&gt;=O$10+2)),SUBSTITUTE(Sprints!$A$2:$A$6,"Sprint ","Sp")),"")</f>
        <v/>
      </c>
      <c r="P8" s="17" t="str">
        <f aca="false">IFERROR(LOOKUP(2,1/((Sprints!$C$2:$C$6&lt;=P$10+2)*(Sprints!$D$2:$D$6&gt;=P$10+2)),SUBSTITUTE(Sprints!$A$2:$A$6,"Sprint ","Sp")),"")</f>
        <v/>
      </c>
      <c r="Q8" s="17" t="str">
        <f aca="false">IFERROR(LOOKUP(2,1/((Sprints!$C$2:$C$6&lt;=Q$10+2)*(Sprints!$D$2:$D$6&gt;=Q$10+2)),SUBSTITUTE(Sprints!$A$2:$A$6,"Sprint ","Sp")),"")</f>
        <v/>
      </c>
      <c r="R8" s="17" t="str">
        <f aca="false">IFERROR(LOOKUP(2,1/((Sprints!$C$2:$C$6&lt;=R$10+2)*(Sprints!$D$2:$D$6&gt;=R$10+2)),SUBSTITUTE(Sprints!$A$2:$A$6,"Sprint ","Sp")),"")</f>
        <v>Sp1</v>
      </c>
      <c r="S8" s="17" t="str">
        <f aca="false">IFERROR(LOOKUP(2,1/((Sprints!$C$2:$C$6&lt;=S$10+2)*(Sprints!$D$2:$D$6&gt;=S$10+2)),SUBSTITUTE(Sprints!$A$2:$A$6,"Sprint ","Sp")),"")</f>
        <v>Sp2</v>
      </c>
      <c r="T8" s="17" t="str">
        <f aca="false">IFERROR(LOOKUP(2,1/((Sprints!$C$2:$C$6&lt;=T$10+2)*(Sprints!$D$2:$D$6&gt;=T$10+2)),SUBSTITUTE(Sprints!$A$2:$A$6,"Sprint ","Sp")),"")</f>
        <v>Sp2</v>
      </c>
      <c r="U8" s="17" t="str">
        <f aca="false">IFERROR(LOOKUP(2,1/((Sprints!$C$2:$C$6&lt;=U$10+2)*(Sprints!$D$2:$D$6&gt;=U$10+2)),SUBSTITUTE(Sprints!$A$2:$A$6,"Sprint ","Sp")),"")</f>
        <v>Sp3</v>
      </c>
      <c r="V8" s="17" t="str">
        <f aca="false">IFERROR(LOOKUP(2,1/((Sprints!$C$2:$C$6&lt;=V$10+2)*(Sprints!$D$2:$D$6&gt;=V$10+2)),SUBSTITUTE(Sprints!$A$2:$A$6,"Sprint ","Sp")),"")</f>
        <v>Sp3</v>
      </c>
      <c r="W8" s="17" t="str">
        <f aca="false">IFERROR(LOOKUP(2,1/((Sprints!$C$2:$C$6&lt;=W$10+2)*(Sprints!$D$2:$D$6&gt;=W$10+2)),SUBSTITUTE(Sprints!$A$2:$A$6,"Sprint ","Sp")),"")</f>
        <v>Sp4</v>
      </c>
      <c r="X8" s="17" t="str">
        <f aca="false">IFERROR(LOOKUP(2,1/((Sprints!$C$2:$C$6&lt;=X$10+2)*(Sprints!$D$2:$D$6&gt;=X$10+2)),SUBSTITUTE(Sprints!$A$2:$A$6,"Sprint ","Sp")),"")</f>
        <v>Sp4</v>
      </c>
      <c r="Y8" s="17" t="str">
        <f aca="false">IFERROR(LOOKUP(2,1/((Sprints!$C$2:$C$6&lt;=Y$10+2)*(Sprints!$D$2:$D$6&gt;=Y$10+2)),SUBSTITUTE(Sprints!$A$2:$A$6,"Sprint ","Sp")),"")</f>
        <v>Sp5</v>
      </c>
      <c r="Z8" s="17" t="str">
        <f aca="false">IFERROR(LOOKUP(2,1/((Sprints!$C$2:$C$6&lt;=Z$10+2)*(Sprints!$D$2:$D$6&gt;=Z$10+2)),SUBSTITUTE(Sprints!$A$2:$A$6,"Sprint ","Sp")),"")</f>
        <v>Sp5</v>
      </c>
      <c r="AA8" s="17" t="str">
        <f aca="false">IFERROR(LOOKUP(2,1/((Sprints!$C$2:$C$6&lt;=AA$10+2)*(Sprints!$D$2:$D$6&gt;=AA$10+2)),SUBSTITUTE(Sprints!$A$2:$A$6,"Sprint ","Sp")),"")</f>
        <v/>
      </c>
      <c r="AB8" s="17" t="str">
        <f aca="false">IFERROR(LOOKUP(2,1/((Sprints!$C$2:$C$6&lt;=AB$10+2)*(Sprints!$D$2:$D$6&gt;=AB$10+2)),SUBSTITUTE(Sprints!$A$2:$A$6,"Sprint ","Sp")),"")</f>
        <v/>
      </c>
    </row>
    <row r="9" customFormat="false" ht="15" hidden="false" customHeight="false" outlineLevel="0" collapsed="false">
      <c r="J9" s="13" t="s">
        <v>18</v>
      </c>
      <c r="K9" s="18" t="s">
        <v>19</v>
      </c>
      <c r="L9" s="18" t="s">
        <v>20</v>
      </c>
      <c r="M9" s="18" t="s">
        <v>21</v>
      </c>
      <c r="N9" s="18" t="s">
        <v>22</v>
      </c>
      <c r="O9" s="18" t="s">
        <v>23</v>
      </c>
      <c r="P9" s="18" t="s">
        <v>24</v>
      </c>
      <c r="Q9" s="18" t="s">
        <v>25</v>
      </c>
      <c r="R9" s="18" t="s">
        <v>26</v>
      </c>
      <c r="S9" s="18" t="s">
        <v>27</v>
      </c>
      <c r="T9" s="18" t="s">
        <v>28</v>
      </c>
      <c r="U9" s="18" t="s">
        <v>29</v>
      </c>
      <c r="V9" s="18" t="s">
        <v>30</v>
      </c>
      <c r="W9" s="18" t="s">
        <v>31</v>
      </c>
      <c r="X9" s="18" t="s">
        <v>32</v>
      </c>
      <c r="Y9" s="18" t="s">
        <v>33</v>
      </c>
      <c r="Z9" s="18" t="s">
        <v>34</v>
      </c>
      <c r="AA9" s="18" t="s">
        <v>35</v>
      </c>
      <c r="AB9" s="18" t="s">
        <v>36</v>
      </c>
    </row>
    <row r="10" customFormat="false" ht="37.5" hidden="false" customHeight="true" outlineLevel="0" collapsed="false">
      <c r="A10" s="19" t="s">
        <v>37</v>
      </c>
      <c r="B10" s="19" t="s">
        <v>38</v>
      </c>
      <c r="C10" s="19" t="s">
        <v>13</v>
      </c>
      <c r="D10" s="19" t="s">
        <v>17</v>
      </c>
      <c r="E10" s="19" t="s">
        <v>39</v>
      </c>
      <c r="F10" s="19" t="s">
        <v>40</v>
      </c>
      <c r="G10" s="19" t="s">
        <v>41</v>
      </c>
      <c r="H10" s="19" t="s">
        <v>42</v>
      </c>
      <c r="I10" s="19" t="s">
        <v>43</v>
      </c>
      <c r="J10" s="19" t="s">
        <v>44</v>
      </c>
      <c r="K10" s="20" t="n">
        <f aca="false">$C$3+7*0</f>
        <v>46244</v>
      </c>
      <c r="L10" s="20" t="n">
        <f aca="false">$C$3+7*1</f>
        <v>46251</v>
      </c>
      <c r="M10" s="20" t="n">
        <f aca="false">$C$3+7*2</f>
        <v>46258</v>
      </c>
      <c r="N10" s="20" t="n">
        <f aca="false">$C$3+7*3</f>
        <v>46265</v>
      </c>
      <c r="O10" s="20" t="n">
        <f aca="false">$C$3+7*4</f>
        <v>46272</v>
      </c>
      <c r="P10" s="20" t="n">
        <f aca="false">$C$3+7*5</f>
        <v>46279</v>
      </c>
      <c r="Q10" s="20" t="n">
        <f aca="false">$C$3+7*6</f>
        <v>46286</v>
      </c>
      <c r="R10" s="20" t="n">
        <f aca="false">$C$3+7*7</f>
        <v>46293</v>
      </c>
      <c r="S10" s="20" t="n">
        <f aca="false">$C$3+7*8</f>
        <v>46300</v>
      </c>
      <c r="T10" s="20" t="n">
        <f aca="false">$C$3+7*9</f>
        <v>46307</v>
      </c>
      <c r="U10" s="20" t="n">
        <f aca="false">$C$3+7*10</f>
        <v>46314</v>
      </c>
      <c r="V10" s="20" t="n">
        <f aca="false">$C$3+7*11</f>
        <v>46321</v>
      </c>
      <c r="W10" s="20" t="n">
        <f aca="false">$C$3+7*12</f>
        <v>46328</v>
      </c>
      <c r="X10" s="20" t="n">
        <f aca="false">$C$3+7*13</f>
        <v>46335</v>
      </c>
      <c r="Y10" s="20" t="n">
        <f aca="false">$C$3+7*14</f>
        <v>46342</v>
      </c>
      <c r="Z10" s="20" t="n">
        <f aca="false">$C$3+7*15</f>
        <v>46349</v>
      </c>
      <c r="AA10" s="20" t="n">
        <f aca="false">$C$3+7*16</f>
        <v>46356</v>
      </c>
      <c r="AB10" s="20" t="n">
        <f aca="false">$C$3+7*17</f>
        <v>46363</v>
      </c>
    </row>
    <row r="11" customFormat="false" ht="18" hidden="false" customHeight="true" outlineLevel="0" collapsed="false">
      <c r="A11" s="21" t="s">
        <v>45</v>
      </c>
      <c r="B11" s="21"/>
      <c r="C11" s="21"/>
      <c r="D11" s="21"/>
      <c r="E11" s="21"/>
      <c r="F11" s="21"/>
      <c r="G11" s="21"/>
      <c r="H11" s="21"/>
      <c r="I11" s="21"/>
      <c r="J11" s="21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</row>
    <row r="12" customFormat="false" ht="18" hidden="false" customHeight="true" outlineLevel="0" collapsed="false">
      <c r="A12" s="23" t="n">
        <v>1</v>
      </c>
      <c r="B12" s="24" t="s">
        <v>46</v>
      </c>
      <c r="C12" s="23" t="s">
        <v>14</v>
      </c>
      <c r="D12" s="23" t="s">
        <v>47</v>
      </c>
      <c r="E12" s="24" t="s">
        <v>48</v>
      </c>
      <c r="F12" s="25" t="n">
        <v>46244</v>
      </c>
      <c r="G12" s="25" t="n">
        <v>46244</v>
      </c>
      <c r="H12" s="23" t="n">
        <f aca="false">G12-F12+1</f>
        <v>1</v>
      </c>
      <c r="I12" s="26" t="s">
        <v>49</v>
      </c>
      <c r="J12" s="26" t="s">
        <v>4</v>
      </c>
      <c r="K12" s="27" t="str">
        <f aca="false">IF(AND($F12&lt;=K$10+6,$G12&gt;=K$10),IF($I12="Hito",IF($J12="Completado","◆","◇")," "),"")</f>
        <v>◆</v>
      </c>
      <c r="L12" s="27" t="str">
        <f aca="false">IF(AND($F12&lt;=L$10+6,$G12&gt;=L$10),IF($I12="Hito",IF($J12="Completado","◆","◇")," "),"")</f>
        <v/>
      </c>
      <c r="M12" s="27" t="str">
        <f aca="false">IF(AND($F12&lt;=M$10+6,$G12&gt;=M$10),IF($I12="Hito",IF($J12="Completado","◆","◇")," "),"")</f>
        <v/>
      </c>
      <c r="N12" s="27" t="str">
        <f aca="false">IF(AND($F12&lt;=N$10+6,$G12&gt;=N$10),IF($I12="Hito",IF($J12="Completado","◆","◇")," "),"")</f>
        <v/>
      </c>
      <c r="O12" s="27" t="str">
        <f aca="false">IF(AND($F12&lt;=O$10+6,$G12&gt;=O$10),IF($I12="Hito",IF($J12="Completado","◆","◇")," "),"")</f>
        <v/>
      </c>
      <c r="P12" s="27" t="str">
        <f aca="false">IF(AND($F12&lt;=P$10+6,$G12&gt;=P$10),IF($I12="Hito",IF($J12="Completado","◆","◇")," "),"")</f>
        <v/>
      </c>
      <c r="Q12" s="27" t="str">
        <f aca="false">IF(AND($F12&lt;=Q$10+6,$G12&gt;=Q$10),IF($I12="Hito",IF($J12="Completado","◆","◇")," "),"")</f>
        <v/>
      </c>
      <c r="R12" s="27" t="str">
        <f aca="false">IF(AND($F12&lt;=R$10+6,$G12&gt;=R$10),IF($I12="Hito",IF($J12="Completado","◆","◇")," "),"")</f>
        <v/>
      </c>
      <c r="S12" s="27" t="str">
        <f aca="false">IF(AND($F12&lt;=S$10+6,$G12&gt;=S$10),IF($I12="Hito",IF($J12="Completado","◆","◇")," "),"")</f>
        <v/>
      </c>
      <c r="T12" s="27" t="str">
        <f aca="false">IF(AND($F12&lt;=T$10+6,$G12&gt;=T$10),IF($I12="Hito",IF($J12="Completado","◆","◇")," "),"")</f>
        <v/>
      </c>
      <c r="U12" s="27" t="str">
        <f aca="false">IF(AND($F12&lt;=U$10+6,$G12&gt;=U$10),IF($I12="Hito",IF($J12="Completado","◆","◇")," "),"")</f>
        <v/>
      </c>
      <c r="V12" s="27" t="str">
        <f aca="false">IF(AND($F12&lt;=V$10+6,$G12&gt;=V$10),IF($I12="Hito",IF($J12="Completado","◆","◇")," "),"")</f>
        <v/>
      </c>
      <c r="W12" s="27" t="str">
        <f aca="false">IF(AND($F12&lt;=W$10+6,$G12&gt;=W$10),IF($I12="Hito",IF($J12="Completado","◆","◇")," "),"")</f>
        <v/>
      </c>
      <c r="X12" s="27" t="str">
        <f aca="false">IF(AND($F12&lt;=X$10+6,$G12&gt;=X$10),IF($I12="Hito",IF($J12="Completado","◆","◇")," "),"")</f>
        <v/>
      </c>
      <c r="Y12" s="27" t="str">
        <f aca="false">IF(AND($F12&lt;=Y$10+6,$G12&gt;=Y$10),IF($I12="Hito",IF($J12="Completado","◆","◇")," "),"")</f>
        <v/>
      </c>
      <c r="Z12" s="27" t="str">
        <f aca="false">IF(AND($F12&lt;=Z$10+6,$G12&gt;=Z$10),IF($I12="Hito",IF($J12="Completado","◆","◇")," "),"")</f>
        <v/>
      </c>
      <c r="AA12" s="27" t="str">
        <f aca="false">IF(AND($F12&lt;=AA$10+6,$G12&gt;=AA$10),IF($I12="Hito",IF($J12="Completado","◆","◇")," "),"")</f>
        <v/>
      </c>
      <c r="AB12" s="27" t="str">
        <f aca="false">IF(AND($F12&lt;=AB$10+6,$G12&gt;=AB$10),IF($I12="Hito",IF($J12="Completado","◆","◇")," "),"")</f>
        <v/>
      </c>
    </row>
    <row r="13" customFormat="false" ht="30" hidden="false" customHeight="true" outlineLevel="0" collapsed="false">
      <c r="A13" s="23" t="n">
        <v>2</v>
      </c>
      <c r="B13" s="24" t="s">
        <v>50</v>
      </c>
      <c r="C13" s="23" t="s">
        <v>14</v>
      </c>
      <c r="D13" s="23" t="s">
        <v>47</v>
      </c>
      <c r="E13" s="24" t="s">
        <v>48</v>
      </c>
      <c r="F13" s="25" t="n">
        <v>46244</v>
      </c>
      <c r="G13" s="25" t="n">
        <v>46257</v>
      </c>
      <c r="H13" s="23" t="n">
        <f aca="false">G13-F13+1</f>
        <v>14</v>
      </c>
      <c r="I13" s="26" t="s">
        <v>51</v>
      </c>
      <c r="J13" s="26" t="s">
        <v>4</v>
      </c>
      <c r="K13" s="27" t="str">
        <f aca="false">IF(AND($F13&lt;=K$10+6,$G13&gt;=K$10),IF($I13="Hito",IF($J13="Completado","◆","◇")," "),"")</f>
        <v> </v>
      </c>
      <c r="L13" s="27" t="str">
        <f aca="false">IF(AND($F13&lt;=L$10+6,$G13&gt;=L$10),IF($I13="Hito",IF($J13="Completado","◆","◇")," "),"")</f>
        <v> </v>
      </c>
      <c r="M13" s="27" t="str">
        <f aca="false">IF(AND($F13&lt;=M$10+6,$G13&gt;=M$10),IF($I13="Hito",IF($J13="Completado","◆","◇")," "),"")</f>
        <v/>
      </c>
      <c r="N13" s="27" t="str">
        <f aca="false">IF(AND($F13&lt;=N$10+6,$G13&gt;=N$10),IF($I13="Hito",IF($J13="Completado","◆","◇")," "),"")</f>
        <v/>
      </c>
      <c r="O13" s="27" t="str">
        <f aca="false">IF(AND($F13&lt;=O$10+6,$G13&gt;=O$10),IF($I13="Hito",IF($J13="Completado","◆","◇")," "),"")</f>
        <v/>
      </c>
      <c r="P13" s="27" t="str">
        <f aca="false">IF(AND($F13&lt;=P$10+6,$G13&gt;=P$10),IF($I13="Hito",IF($J13="Completado","◆","◇")," "),"")</f>
        <v/>
      </c>
      <c r="Q13" s="27" t="str">
        <f aca="false">IF(AND($F13&lt;=Q$10+6,$G13&gt;=Q$10),IF($I13="Hito",IF($J13="Completado","◆","◇")," "),"")</f>
        <v/>
      </c>
      <c r="R13" s="27" t="str">
        <f aca="false">IF(AND($F13&lt;=R$10+6,$G13&gt;=R$10),IF($I13="Hito",IF($J13="Completado","◆","◇")," "),"")</f>
        <v/>
      </c>
      <c r="S13" s="27" t="str">
        <f aca="false">IF(AND($F13&lt;=S$10+6,$G13&gt;=S$10),IF($I13="Hito",IF($J13="Completado","◆","◇")," "),"")</f>
        <v/>
      </c>
      <c r="T13" s="27" t="str">
        <f aca="false">IF(AND($F13&lt;=T$10+6,$G13&gt;=T$10),IF($I13="Hito",IF($J13="Completado","◆","◇")," "),"")</f>
        <v/>
      </c>
      <c r="U13" s="27" t="str">
        <f aca="false">IF(AND($F13&lt;=U$10+6,$G13&gt;=U$10),IF($I13="Hito",IF($J13="Completado","◆","◇")," "),"")</f>
        <v/>
      </c>
      <c r="V13" s="27" t="str">
        <f aca="false">IF(AND($F13&lt;=V$10+6,$G13&gt;=V$10),IF($I13="Hito",IF($J13="Completado","◆","◇")," "),"")</f>
        <v/>
      </c>
      <c r="W13" s="27" t="str">
        <f aca="false">IF(AND($F13&lt;=W$10+6,$G13&gt;=W$10),IF($I13="Hito",IF($J13="Completado","◆","◇")," "),"")</f>
        <v/>
      </c>
      <c r="X13" s="27" t="str">
        <f aca="false">IF(AND($F13&lt;=X$10+6,$G13&gt;=X$10),IF($I13="Hito",IF($J13="Completado","◆","◇")," "),"")</f>
        <v/>
      </c>
      <c r="Y13" s="27" t="str">
        <f aca="false">IF(AND($F13&lt;=Y$10+6,$G13&gt;=Y$10),IF($I13="Hito",IF($J13="Completado","◆","◇")," "),"")</f>
        <v/>
      </c>
      <c r="Z13" s="27" t="str">
        <f aca="false">IF(AND($F13&lt;=Z$10+6,$G13&gt;=Z$10),IF($I13="Hito",IF($J13="Completado","◆","◇")," "),"")</f>
        <v/>
      </c>
      <c r="AA13" s="27" t="str">
        <f aca="false">IF(AND($F13&lt;=AA$10+6,$G13&gt;=AA$10),IF($I13="Hito",IF($J13="Completado","◆","◇")," "),"")</f>
        <v/>
      </c>
      <c r="AB13" s="27" t="str">
        <f aca="false">IF(AND($F13&lt;=AB$10+6,$G13&gt;=AB$10),IF($I13="Hito",IF($J13="Completado","◆","◇")," "),"")</f>
        <v/>
      </c>
    </row>
    <row r="14" customFormat="false" ht="18" hidden="false" customHeight="true" outlineLevel="0" collapsed="false">
      <c r="A14" s="23" t="n">
        <v>3</v>
      </c>
      <c r="B14" s="24" t="s">
        <v>52</v>
      </c>
      <c r="C14" s="23" t="s">
        <v>14</v>
      </c>
      <c r="D14" s="23" t="s">
        <v>47</v>
      </c>
      <c r="E14" s="24" t="s">
        <v>48</v>
      </c>
      <c r="F14" s="25" t="n">
        <v>46255</v>
      </c>
      <c r="G14" s="25" t="n">
        <v>46255</v>
      </c>
      <c r="H14" s="23" t="n">
        <f aca="false">G14-F14+1</f>
        <v>1</v>
      </c>
      <c r="I14" s="26" t="s">
        <v>49</v>
      </c>
      <c r="J14" s="26" t="s">
        <v>4</v>
      </c>
      <c r="K14" s="27" t="str">
        <f aca="false">IF(AND($F14&lt;=K$10+6,$G14&gt;=K$10),IF($I14="Hito",IF($J14="Completado","◆","◇")," "),"")</f>
        <v/>
      </c>
      <c r="L14" s="27" t="str">
        <f aca="false">IF(AND($F14&lt;=L$10+6,$G14&gt;=L$10),IF($I14="Hito",IF($J14="Completado","◆","◇")," "),"")</f>
        <v>◆</v>
      </c>
      <c r="M14" s="27" t="str">
        <f aca="false">IF(AND($F14&lt;=M$10+6,$G14&gt;=M$10),IF($I14="Hito",IF($J14="Completado","◆","◇")," "),"")</f>
        <v/>
      </c>
      <c r="N14" s="27" t="str">
        <f aca="false">IF(AND($F14&lt;=N$10+6,$G14&gt;=N$10),IF($I14="Hito",IF($J14="Completado","◆","◇")," "),"")</f>
        <v/>
      </c>
      <c r="O14" s="27" t="str">
        <f aca="false">IF(AND($F14&lt;=O$10+6,$G14&gt;=O$10),IF($I14="Hito",IF($J14="Completado","◆","◇")," "),"")</f>
        <v/>
      </c>
      <c r="P14" s="27" t="str">
        <f aca="false">IF(AND($F14&lt;=P$10+6,$G14&gt;=P$10),IF($I14="Hito",IF($J14="Completado","◆","◇")," "),"")</f>
        <v/>
      </c>
      <c r="Q14" s="27" t="str">
        <f aca="false">IF(AND($F14&lt;=Q$10+6,$G14&gt;=Q$10),IF($I14="Hito",IF($J14="Completado","◆","◇")," "),"")</f>
        <v/>
      </c>
      <c r="R14" s="27" t="str">
        <f aca="false">IF(AND($F14&lt;=R$10+6,$G14&gt;=R$10),IF($I14="Hito",IF($J14="Completado","◆","◇")," "),"")</f>
        <v/>
      </c>
      <c r="S14" s="27" t="str">
        <f aca="false">IF(AND($F14&lt;=S$10+6,$G14&gt;=S$10),IF($I14="Hito",IF($J14="Completado","◆","◇")," "),"")</f>
        <v/>
      </c>
      <c r="T14" s="27" t="str">
        <f aca="false">IF(AND($F14&lt;=T$10+6,$G14&gt;=T$10),IF($I14="Hito",IF($J14="Completado","◆","◇")," "),"")</f>
        <v/>
      </c>
      <c r="U14" s="27" t="str">
        <f aca="false">IF(AND($F14&lt;=U$10+6,$G14&gt;=U$10),IF($I14="Hito",IF($J14="Completado","◆","◇")," "),"")</f>
        <v/>
      </c>
      <c r="V14" s="27" t="str">
        <f aca="false">IF(AND($F14&lt;=V$10+6,$G14&gt;=V$10),IF($I14="Hito",IF($J14="Completado","◆","◇")," "),"")</f>
        <v/>
      </c>
      <c r="W14" s="27" t="str">
        <f aca="false">IF(AND($F14&lt;=W$10+6,$G14&gt;=W$10),IF($I14="Hito",IF($J14="Completado","◆","◇")," "),"")</f>
        <v/>
      </c>
      <c r="X14" s="27" t="str">
        <f aca="false">IF(AND($F14&lt;=X$10+6,$G14&gt;=X$10),IF($I14="Hito",IF($J14="Completado","◆","◇")," "),"")</f>
        <v/>
      </c>
      <c r="Y14" s="27" t="str">
        <f aca="false">IF(AND($F14&lt;=Y$10+6,$G14&gt;=Y$10),IF($I14="Hito",IF($J14="Completado","◆","◇")," "),"")</f>
        <v/>
      </c>
      <c r="Z14" s="27" t="str">
        <f aca="false">IF(AND($F14&lt;=Z$10+6,$G14&gt;=Z$10),IF($I14="Hito",IF($J14="Completado","◆","◇")," "),"")</f>
        <v/>
      </c>
      <c r="AA14" s="27" t="str">
        <f aca="false">IF(AND($F14&lt;=AA$10+6,$G14&gt;=AA$10),IF($I14="Hito",IF($J14="Completado","◆","◇")," "),"")</f>
        <v/>
      </c>
      <c r="AB14" s="27" t="str">
        <f aca="false">IF(AND($F14&lt;=AB$10+6,$G14&gt;=AB$10),IF($I14="Hito",IF($J14="Completado","◆","◇")," "),"")</f>
        <v/>
      </c>
    </row>
    <row r="15" customFormat="false" ht="30" hidden="false" customHeight="true" outlineLevel="0" collapsed="false">
      <c r="A15" s="23" t="n">
        <v>4</v>
      </c>
      <c r="B15" s="24" t="s">
        <v>53</v>
      </c>
      <c r="C15" s="23" t="s">
        <v>14</v>
      </c>
      <c r="D15" s="23" t="s">
        <v>47</v>
      </c>
      <c r="E15" s="24" t="s">
        <v>48</v>
      </c>
      <c r="F15" s="25" t="n">
        <v>46265</v>
      </c>
      <c r="G15" s="25" t="n">
        <v>46268</v>
      </c>
      <c r="H15" s="23" t="n">
        <f aca="false">G15-F15+1</f>
        <v>4</v>
      </c>
      <c r="I15" s="26" t="s">
        <v>51</v>
      </c>
      <c r="J15" s="26" t="s">
        <v>4</v>
      </c>
      <c r="K15" s="27" t="str">
        <f aca="false">IF(AND($F15&lt;=K$10+6,$G15&gt;=K$10),IF($I15="Hito",IF($J15="Completado","◆","◇")," "),"")</f>
        <v/>
      </c>
      <c r="L15" s="27" t="str">
        <f aca="false">IF(AND($F15&lt;=L$10+6,$G15&gt;=L$10),IF($I15="Hito",IF($J15="Completado","◆","◇")," "),"")</f>
        <v/>
      </c>
      <c r="M15" s="27" t="str">
        <f aca="false">IF(AND($F15&lt;=M$10+6,$G15&gt;=M$10),IF($I15="Hito",IF($J15="Completado","◆","◇")," "),"")</f>
        <v/>
      </c>
      <c r="N15" s="27" t="str">
        <f aca="false">IF(AND($F15&lt;=N$10+6,$G15&gt;=N$10),IF($I15="Hito",IF($J15="Completado","◆","◇")," "),"")</f>
        <v> </v>
      </c>
      <c r="O15" s="27" t="str">
        <f aca="false">IF(AND($F15&lt;=O$10+6,$G15&gt;=O$10),IF($I15="Hito",IF($J15="Completado","◆","◇")," "),"")</f>
        <v/>
      </c>
      <c r="P15" s="27" t="str">
        <f aca="false">IF(AND($F15&lt;=P$10+6,$G15&gt;=P$10),IF($I15="Hito",IF($J15="Completado","◆","◇")," "),"")</f>
        <v/>
      </c>
      <c r="Q15" s="27" t="str">
        <f aca="false">IF(AND($F15&lt;=Q$10+6,$G15&gt;=Q$10),IF($I15="Hito",IF($J15="Completado","◆","◇")," "),"")</f>
        <v/>
      </c>
      <c r="R15" s="27" t="str">
        <f aca="false">IF(AND($F15&lt;=R$10+6,$G15&gt;=R$10),IF($I15="Hito",IF($J15="Completado","◆","◇")," "),"")</f>
        <v/>
      </c>
      <c r="S15" s="27" t="str">
        <f aca="false">IF(AND($F15&lt;=S$10+6,$G15&gt;=S$10),IF($I15="Hito",IF($J15="Completado","◆","◇")," "),"")</f>
        <v/>
      </c>
      <c r="T15" s="27" t="str">
        <f aca="false">IF(AND($F15&lt;=T$10+6,$G15&gt;=T$10),IF($I15="Hito",IF($J15="Completado","◆","◇")," "),"")</f>
        <v/>
      </c>
      <c r="U15" s="27" t="str">
        <f aca="false">IF(AND($F15&lt;=U$10+6,$G15&gt;=U$10),IF($I15="Hito",IF($J15="Completado","◆","◇")," "),"")</f>
        <v/>
      </c>
      <c r="V15" s="27" t="str">
        <f aca="false">IF(AND($F15&lt;=V$10+6,$G15&gt;=V$10),IF($I15="Hito",IF($J15="Completado","◆","◇")," "),"")</f>
        <v/>
      </c>
      <c r="W15" s="27" t="str">
        <f aca="false">IF(AND($F15&lt;=W$10+6,$G15&gt;=W$10),IF($I15="Hito",IF($J15="Completado","◆","◇")," "),"")</f>
        <v/>
      </c>
      <c r="X15" s="27" t="str">
        <f aca="false">IF(AND($F15&lt;=X$10+6,$G15&gt;=X$10),IF($I15="Hito",IF($J15="Completado","◆","◇")," "),"")</f>
        <v/>
      </c>
      <c r="Y15" s="27" t="str">
        <f aca="false">IF(AND($F15&lt;=Y$10+6,$G15&gt;=Y$10),IF($I15="Hito",IF($J15="Completado","◆","◇")," "),"")</f>
        <v/>
      </c>
      <c r="Z15" s="27" t="str">
        <f aca="false">IF(AND($F15&lt;=Z$10+6,$G15&gt;=Z$10),IF($I15="Hito",IF($J15="Completado","◆","◇")," "),"")</f>
        <v/>
      </c>
      <c r="AA15" s="27" t="str">
        <f aca="false">IF(AND($F15&lt;=AA$10+6,$G15&gt;=AA$10),IF($I15="Hito",IF($J15="Completado","◆","◇")," "),"")</f>
        <v/>
      </c>
      <c r="AB15" s="27" t="str">
        <f aca="false">IF(AND($F15&lt;=AB$10+6,$G15&gt;=AB$10),IF($I15="Hito",IF($J15="Completado","◆","◇")," "),"")</f>
        <v/>
      </c>
    </row>
    <row r="16" customFormat="false" ht="18" hidden="false" customHeight="true" outlineLevel="0" collapsed="false">
      <c r="A16" s="23" t="n">
        <v>5</v>
      </c>
      <c r="B16" s="24" t="s">
        <v>54</v>
      </c>
      <c r="C16" s="23" t="s">
        <v>14</v>
      </c>
      <c r="D16" s="23" t="s">
        <v>47</v>
      </c>
      <c r="E16" s="24" t="s">
        <v>48</v>
      </c>
      <c r="F16" s="25" t="n">
        <v>46268</v>
      </c>
      <c r="G16" s="25" t="n">
        <v>46268</v>
      </c>
      <c r="H16" s="23" t="n">
        <f aca="false">G16-F16+1</f>
        <v>1</v>
      </c>
      <c r="I16" s="26" t="s">
        <v>49</v>
      </c>
      <c r="J16" s="26" t="s">
        <v>4</v>
      </c>
      <c r="K16" s="27" t="str">
        <f aca="false">IF(AND($F16&lt;=K$10+6,$G16&gt;=K$10),IF($I16="Hito",IF($J16="Completado","◆","◇")," "),"")</f>
        <v/>
      </c>
      <c r="L16" s="27" t="str">
        <f aca="false">IF(AND($F16&lt;=L$10+6,$G16&gt;=L$10),IF($I16="Hito",IF($J16="Completado","◆","◇")," "),"")</f>
        <v/>
      </c>
      <c r="M16" s="27" t="str">
        <f aca="false">IF(AND($F16&lt;=M$10+6,$G16&gt;=M$10),IF($I16="Hito",IF($J16="Completado","◆","◇")," "),"")</f>
        <v/>
      </c>
      <c r="N16" s="27" t="str">
        <f aca="false">IF(AND($F16&lt;=N$10+6,$G16&gt;=N$10),IF($I16="Hito",IF($J16="Completado","◆","◇")," "),"")</f>
        <v>◆</v>
      </c>
      <c r="O16" s="27" t="str">
        <f aca="false">IF(AND($F16&lt;=O$10+6,$G16&gt;=O$10),IF($I16="Hito",IF($J16="Completado","◆","◇")," "),"")</f>
        <v/>
      </c>
      <c r="P16" s="27" t="str">
        <f aca="false">IF(AND($F16&lt;=P$10+6,$G16&gt;=P$10),IF($I16="Hito",IF($J16="Completado","◆","◇")," "),"")</f>
        <v/>
      </c>
      <c r="Q16" s="27" t="str">
        <f aca="false">IF(AND($F16&lt;=Q$10+6,$G16&gt;=Q$10),IF($I16="Hito",IF($J16="Completado","◆","◇")," "),"")</f>
        <v/>
      </c>
      <c r="R16" s="27" t="str">
        <f aca="false">IF(AND($F16&lt;=R$10+6,$G16&gt;=R$10),IF($I16="Hito",IF($J16="Completado","◆","◇")," "),"")</f>
        <v/>
      </c>
      <c r="S16" s="27" t="str">
        <f aca="false">IF(AND($F16&lt;=S$10+6,$G16&gt;=S$10),IF($I16="Hito",IF($J16="Completado","◆","◇")," "),"")</f>
        <v/>
      </c>
      <c r="T16" s="27" t="str">
        <f aca="false">IF(AND($F16&lt;=T$10+6,$G16&gt;=T$10),IF($I16="Hito",IF($J16="Completado","◆","◇")," "),"")</f>
        <v/>
      </c>
      <c r="U16" s="27" t="str">
        <f aca="false">IF(AND($F16&lt;=U$10+6,$G16&gt;=U$10),IF($I16="Hito",IF($J16="Completado","◆","◇")," "),"")</f>
        <v/>
      </c>
      <c r="V16" s="27" t="str">
        <f aca="false">IF(AND($F16&lt;=V$10+6,$G16&gt;=V$10),IF($I16="Hito",IF($J16="Completado","◆","◇")," "),"")</f>
        <v/>
      </c>
      <c r="W16" s="27" t="str">
        <f aca="false">IF(AND($F16&lt;=W$10+6,$G16&gt;=W$10),IF($I16="Hito",IF($J16="Completado","◆","◇")," "),"")</f>
        <v/>
      </c>
      <c r="X16" s="27" t="str">
        <f aca="false">IF(AND($F16&lt;=X$10+6,$G16&gt;=X$10),IF($I16="Hito",IF($J16="Completado","◆","◇")," "),"")</f>
        <v/>
      </c>
      <c r="Y16" s="27" t="str">
        <f aca="false">IF(AND($F16&lt;=Y$10+6,$G16&gt;=Y$10),IF($I16="Hito",IF($J16="Completado","◆","◇")," "),"")</f>
        <v/>
      </c>
      <c r="Z16" s="27" t="str">
        <f aca="false">IF(AND($F16&lt;=Z$10+6,$G16&gt;=Z$10),IF($I16="Hito",IF($J16="Completado","◆","◇")," "),"")</f>
        <v/>
      </c>
      <c r="AA16" s="27" t="str">
        <f aca="false">IF(AND($F16&lt;=AA$10+6,$G16&gt;=AA$10),IF($I16="Hito",IF($J16="Completado","◆","◇")," "),"")</f>
        <v/>
      </c>
      <c r="AB16" s="27" t="str">
        <f aca="false">IF(AND($F16&lt;=AB$10+6,$G16&gt;=AB$10),IF($I16="Hito",IF($J16="Completado","◆","◇")," "),"")</f>
        <v/>
      </c>
    </row>
    <row r="17" customFormat="false" ht="30" hidden="false" customHeight="true" outlineLevel="0" collapsed="false">
      <c r="A17" s="23" t="n">
        <v>6</v>
      </c>
      <c r="B17" s="24" t="s">
        <v>55</v>
      </c>
      <c r="C17" s="23" t="s">
        <v>56</v>
      </c>
      <c r="D17" s="23" t="s">
        <v>47</v>
      </c>
      <c r="E17" s="24" t="s">
        <v>57</v>
      </c>
      <c r="F17" s="25" t="n">
        <v>46251</v>
      </c>
      <c r="G17" s="25" t="n">
        <v>46289</v>
      </c>
      <c r="H17" s="23" t="n">
        <f aca="false">G17-F17+1</f>
        <v>39</v>
      </c>
      <c r="I17" s="26" t="s">
        <v>51</v>
      </c>
      <c r="J17" s="26" t="s">
        <v>4</v>
      </c>
      <c r="K17" s="27" t="str">
        <f aca="false">IF(AND($F17&lt;=K$10+6,$G17&gt;=K$10),IF($I17="Hito",IF($J17="Completado","◆","◇")," "),"")</f>
        <v/>
      </c>
      <c r="L17" s="27" t="str">
        <f aca="false">IF(AND($F17&lt;=L$10+6,$G17&gt;=L$10),IF($I17="Hito",IF($J17="Completado","◆","◇")," "),"")</f>
        <v> </v>
      </c>
      <c r="M17" s="27" t="str">
        <f aca="false">IF(AND($F17&lt;=M$10+6,$G17&gt;=M$10),IF($I17="Hito",IF($J17="Completado","◆","◇")," "),"")</f>
        <v> </v>
      </c>
      <c r="N17" s="27" t="str">
        <f aca="false">IF(AND($F17&lt;=N$10+6,$G17&gt;=N$10),IF($I17="Hito",IF($J17="Completado","◆","◇")," "),"")</f>
        <v> </v>
      </c>
      <c r="O17" s="27" t="str">
        <f aca="false">IF(AND($F17&lt;=O$10+6,$G17&gt;=O$10),IF($I17="Hito",IF($J17="Completado","◆","◇")," "),"")</f>
        <v> </v>
      </c>
      <c r="P17" s="27" t="str">
        <f aca="false">IF(AND($F17&lt;=P$10+6,$G17&gt;=P$10),IF($I17="Hito",IF($J17="Completado","◆","◇")," "),"")</f>
        <v> </v>
      </c>
      <c r="Q17" s="27" t="str">
        <f aca="false">IF(AND($F17&lt;=Q$10+6,$G17&gt;=Q$10),IF($I17="Hito",IF($J17="Completado","◆","◇")," "),"")</f>
        <v> </v>
      </c>
      <c r="R17" s="27" t="str">
        <f aca="false">IF(AND($F17&lt;=R$10+6,$G17&gt;=R$10),IF($I17="Hito",IF($J17="Completado","◆","◇")," "),"")</f>
        <v/>
      </c>
      <c r="S17" s="27" t="str">
        <f aca="false">IF(AND($F17&lt;=S$10+6,$G17&gt;=S$10),IF($I17="Hito",IF($J17="Completado","◆","◇")," "),"")</f>
        <v/>
      </c>
      <c r="T17" s="27" t="str">
        <f aca="false">IF(AND($F17&lt;=T$10+6,$G17&gt;=T$10),IF($I17="Hito",IF($J17="Completado","◆","◇")," "),"")</f>
        <v/>
      </c>
      <c r="U17" s="27" t="str">
        <f aca="false">IF(AND($F17&lt;=U$10+6,$G17&gt;=U$10),IF($I17="Hito",IF($J17="Completado","◆","◇")," "),"")</f>
        <v/>
      </c>
      <c r="V17" s="27" t="str">
        <f aca="false">IF(AND($F17&lt;=V$10+6,$G17&gt;=V$10),IF($I17="Hito",IF($J17="Completado","◆","◇")," "),"")</f>
        <v/>
      </c>
      <c r="W17" s="27" t="str">
        <f aca="false">IF(AND($F17&lt;=W$10+6,$G17&gt;=W$10),IF($I17="Hito",IF($J17="Completado","◆","◇")," "),"")</f>
        <v/>
      </c>
      <c r="X17" s="27" t="str">
        <f aca="false">IF(AND($F17&lt;=X$10+6,$G17&gt;=X$10),IF($I17="Hito",IF($J17="Completado","◆","◇")," "),"")</f>
        <v/>
      </c>
      <c r="Y17" s="27" t="str">
        <f aca="false">IF(AND($F17&lt;=Y$10+6,$G17&gt;=Y$10),IF($I17="Hito",IF($J17="Completado","◆","◇")," "),"")</f>
        <v/>
      </c>
      <c r="Z17" s="27" t="str">
        <f aca="false">IF(AND($F17&lt;=Z$10+6,$G17&gt;=Z$10),IF($I17="Hito",IF($J17="Completado","◆","◇")," "),"")</f>
        <v/>
      </c>
      <c r="AA17" s="27" t="str">
        <f aca="false">IF(AND($F17&lt;=AA$10+6,$G17&gt;=AA$10),IF($I17="Hito",IF($J17="Completado","◆","◇")," "),"")</f>
        <v/>
      </c>
      <c r="AB17" s="27" t="str">
        <f aca="false">IF(AND($F17&lt;=AB$10+6,$G17&gt;=AB$10),IF($I17="Hito",IF($J17="Completado","◆","◇")," "),"")</f>
        <v/>
      </c>
    </row>
    <row r="18" customFormat="false" ht="18" hidden="false" customHeight="true" outlineLevel="0" collapsed="false">
      <c r="A18" s="21" t="s">
        <v>58</v>
      </c>
      <c r="B18" s="21"/>
      <c r="C18" s="21"/>
      <c r="D18" s="21"/>
      <c r="E18" s="21"/>
      <c r="F18" s="21"/>
      <c r="G18" s="21"/>
      <c r="H18" s="21"/>
      <c r="I18" s="21"/>
      <c r="J18" s="21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</row>
    <row r="19" customFormat="false" ht="18" hidden="false" customHeight="true" outlineLevel="0" collapsed="false">
      <c r="A19" s="23" t="n">
        <v>7</v>
      </c>
      <c r="B19" s="24" t="s">
        <v>59</v>
      </c>
      <c r="C19" s="23" t="s">
        <v>60</v>
      </c>
      <c r="D19" s="23" t="s">
        <v>61</v>
      </c>
      <c r="E19" s="24" t="s">
        <v>48</v>
      </c>
      <c r="F19" s="25" t="n">
        <v>46290</v>
      </c>
      <c r="G19" s="25" t="n">
        <v>46290</v>
      </c>
      <c r="H19" s="23" t="n">
        <f aca="false">G19-F19+1</f>
        <v>1</v>
      </c>
      <c r="I19" s="26" t="s">
        <v>49</v>
      </c>
      <c r="J19" s="26" t="s">
        <v>4</v>
      </c>
      <c r="K19" s="27" t="str">
        <f aca="false">IF(AND($F19&lt;=K$10+6,$G19&gt;=K$10),IF($I19="Hito",IF($J19="Completado","◆","◇")," "),"")</f>
        <v/>
      </c>
      <c r="L19" s="27" t="str">
        <f aca="false">IF(AND($F19&lt;=L$10+6,$G19&gt;=L$10),IF($I19="Hito",IF($J19="Completado","◆","◇")," "),"")</f>
        <v/>
      </c>
      <c r="M19" s="27" t="str">
        <f aca="false">IF(AND($F19&lt;=M$10+6,$G19&gt;=M$10),IF($I19="Hito",IF($J19="Completado","◆","◇")," "),"")</f>
        <v/>
      </c>
      <c r="N19" s="27" t="str">
        <f aca="false">IF(AND($F19&lt;=N$10+6,$G19&gt;=N$10),IF($I19="Hito",IF($J19="Completado","◆","◇")," "),"")</f>
        <v/>
      </c>
      <c r="O19" s="27" t="str">
        <f aca="false">IF(AND($F19&lt;=O$10+6,$G19&gt;=O$10),IF($I19="Hito",IF($J19="Completado","◆","◇")," "),"")</f>
        <v/>
      </c>
      <c r="P19" s="27" t="str">
        <f aca="false">IF(AND($F19&lt;=P$10+6,$G19&gt;=P$10),IF($I19="Hito",IF($J19="Completado","◆","◇")," "),"")</f>
        <v/>
      </c>
      <c r="Q19" s="27" t="str">
        <f aca="false">IF(AND($F19&lt;=Q$10+6,$G19&gt;=Q$10),IF($I19="Hito",IF($J19="Completado","◆","◇")," "),"")</f>
        <v>◆</v>
      </c>
      <c r="R19" s="27" t="str">
        <f aca="false">IF(AND($F19&lt;=R$10+6,$G19&gt;=R$10),IF($I19="Hito",IF($J19="Completado","◆","◇")," "),"")</f>
        <v/>
      </c>
      <c r="S19" s="27" t="str">
        <f aca="false">IF(AND($F19&lt;=S$10+6,$G19&gt;=S$10),IF($I19="Hito",IF($J19="Completado","◆","◇")," "),"")</f>
        <v/>
      </c>
      <c r="T19" s="27" t="str">
        <f aca="false">IF(AND($F19&lt;=T$10+6,$G19&gt;=T$10),IF($I19="Hito",IF($J19="Completado","◆","◇")," "),"")</f>
        <v/>
      </c>
      <c r="U19" s="27" t="str">
        <f aca="false">IF(AND($F19&lt;=U$10+6,$G19&gt;=U$10),IF($I19="Hito",IF($J19="Completado","◆","◇")," "),"")</f>
        <v/>
      </c>
      <c r="V19" s="27" t="str">
        <f aca="false">IF(AND($F19&lt;=V$10+6,$G19&gt;=V$10),IF($I19="Hito",IF($J19="Completado","◆","◇")," "),"")</f>
        <v/>
      </c>
      <c r="W19" s="27" t="str">
        <f aca="false">IF(AND($F19&lt;=W$10+6,$G19&gt;=W$10),IF($I19="Hito",IF($J19="Completado","◆","◇")," "),"")</f>
        <v/>
      </c>
      <c r="X19" s="27" t="str">
        <f aca="false">IF(AND($F19&lt;=X$10+6,$G19&gt;=X$10),IF($I19="Hito",IF($J19="Completado","◆","◇")," "),"")</f>
        <v/>
      </c>
      <c r="Y19" s="27" t="str">
        <f aca="false">IF(AND($F19&lt;=Y$10+6,$G19&gt;=Y$10),IF($I19="Hito",IF($J19="Completado","◆","◇")," "),"")</f>
        <v/>
      </c>
      <c r="Z19" s="27" t="str">
        <f aca="false">IF(AND($F19&lt;=Z$10+6,$G19&gt;=Z$10),IF($I19="Hito",IF($J19="Completado","◆","◇")," "),"")</f>
        <v/>
      </c>
      <c r="AA19" s="27" t="str">
        <f aca="false">IF(AND($F19&lt;=AA$10+6,$G19&gt;=AA$10),IF($I19="Hito",IF($J19="Completado","◆","◇")," "),"")</f>
        <v/>
      </c>
      <c r="AB19" s="27" t="str">
        <f aca="false">IF(AND($F19&lt;=AB$10+6,$G19&gt;=AB$10),IF($I19="Hito",IF($J19="Completado","◆","◇")," "),"")</f>
        <v/>
      </c>
    </row>
    <row r="20" customFormat="false" ht="18" hidden="false" customHeight="true" outlineLevel="0" collapsed="false">
      <c r="A20" s="23" t="n">
        <v>8</v>
      </c>
      <c r="B20" s="24" t="s">
        <v>62</v>
      </c>
      <c r="C20" s="23" t="s">
        <v>60</v>
      </c>
      <c r="D20" s="23" t="s">
        <v>61</v>
      </c>
      <c r="E20" s="24" t="s">
        <v>63</v>
      </c>
      <c r="F20" s="25" t="n">
        <v>46290</v>
      </c>
      <c r="G20" s="25" t="n">
        <v>46300</v>
      </c>
      <c r="H20" s="23" t="n">
        <f aca="false">G20-F20+1</f>
        <v>11</v>
      </c>
      <c r="I20" s="26" t="s">
        <v>51</v>
      </c>
      <c r="J20" s="26" t="s">
        <v>4</v>
      </c>
      <c r="K20" s="27" t="str">
        <f aca="false">IF(AND($F20&lt;=K$10+6,$G20&gt;=K$10),IF($I20="Hito",IF($J20="Completado","◆","◇")," "),"")</f>
        <v/>
      </c>
      <c r="L20" s="27" t="str">
        <f aca="false">IF(AND($F20&lt;=L$10+6,$G20&gt;=L$10),IF($I20="Hito",IF($J20="Completado","◆","◇")," "),"")</f>
        <v/>
      </c>
      <c r="M20" s="27" t="str">
        <f aca="false">IF(AND($F20&lt;=M$10+6,$G20&gt;=M$10),IF($I20="Hito",IF($J20="Completado","◆","◇")," "),"")</f>
        <v/>
      </c>
      <c r="N20" s="27" t="str">
        <f aca="false">IF(AND($F20&lt;=N$10+6,$G20&gt;=N$10),IF($I20="Hito",IF($J20="Completado","◆","◇")," "),"")</f>
        <v/>
      </c>
      <c r="O20" s="27" t="str">
        <f aca="false">IF(AND($F20&lt;=O$10+6,$G20&gt;=O$10),IF($I20="Hito",IF($J20="Completado","◆","◇")," "),"")</f>
        <v/>
      </c>
      <c r="P20" s="27" t="str">
        <f aca="false">IF(AND($F20&lt;=P$10+6,$G20&gt;=P$10),IF($I20="Hito",IF($J20="Completado","◆","◇")," "),"")</f>
        <v/>
      </c>
      <c r="Q20" s="27" t="str">
        <f aca="false">IF(AND($F20&lt;=Q$10+6,$G20&gt;=Q$10),IF($I20="Hito",IF($J20="Completado","◆","◇")," "),"")</f>
        <v> </v>
      </c>
      <c r="R20" s="27" t="str">
        <f aca="false">IF(AND($F20&lt;=R$10+6,$G20&gt;=R$10),IF($I20="Hito",IF($J20="Completado","◆","◇")," "),"")</f>
        <v> </v>
      </c>
      <c r="S20" s="27" t="str">
        <f aca="false">IF(AND($F20&lt;=S$10+6,$G20&gt;=S$10),IF($I20="Hito",IF($J20="Completado","◆","◇")," "),"")</f>
        <v> </v>
      </c>
      <c r="T20" s="27" t="str">
        <f aca="false">IF(AND($F20&lt;=T$10+6,$G20&gt;=T$10),IF($I20="Hito",IF($J20="Completado","◆","◇")," "),"")</f>
        <v/>
      </c>
      <c r="U20" s="27" t="str">
        <f aca="false">IF(AND($F20&lt;=U$10+6,$G20&gt;=U$10),IF($I20="Hito",IF($J20="Completado","◆","◇")," "),"")</f>
        <v/>
      </c>
      <c r="V20" s="27" t="str">
        <f aca="false">IF(AND($F20&lt;=V$10+6,$G20&gt;=V$10),IF($I20="Hito",IF($J20="Completado","◆","◇")," "),"")</f>
        <v/>
      </c>
      <c r="W20" s="27" t="str">
        <f aca="false">IF(AND($F20&lt;=W$10+6,$G20&gt;=W$10),IF($I20="Hito",IF($J20="Completado","◆","◇")," "),"")</f>
        <v/>
      </c>
      <c r="X20" s="27" t="str">
        <f aca="false">IF(AND($F20&lt;=X$10+6,$G20&gt;=X$10),IF($I20="Hito",IF($J20="Completado","◆","◇")," "),"")</f>
        <v/>
      </c>
      <c r="Y20" s="27" t="str">
        <f aca="false">IF(AND($F20&lt;=Y$10+6,$G20&gt;=Y$10),IF($I20="Hito",IF($J20="Completado","◆","◇")," "),"")</f>
        <v/>
      </c>
      <c r="Z20" s="27" t="str">
        <f aca="false">IF(AND($F20&lt;=Z$10+6,$G20&gt;=Z$10),IF($I20="Hito",IF($J20="Completado","◆","◇")," "),"")</f>
        <v/>
      </c>
      <c r="AA20" s="27" t="str">
        <f aca="false">IF(AND($F20&lt;=AA$10+6,$G20&gt;=AA$10),IF($I20="Hito",IF($J20="Completado","◆","◇")," "),"")</f>
        <v/>
      </c>
      <c r="AB20" s="27" t="str">
        <f aca="false">IF(AND($F20&lt;=AB$10+6,$G20&gt;=AB$10),IF($I20="Hito",IF($J20="Completado","◆","◇")," "),"")</f>
        <v/>
      </c>
    </row>
    <row r="21" customFormat="false" ht="18" hidden="false" customHeight="true" outlineLevel="0" collapsed="false">
      <c r="A21" s="21" t="s">
        <v>64</v>
      </c>
      <c r="B21" s="21"/>
      <c r="C21" s="21"/>
      <c r="D21" s="21"/>
      <c r="E21" s="21"/>
      <c r="F21" s="21"/>
      <c r="G21" s="21"/>
      <c r="H21" s="21"/>
      <c r="I21" s="21"/>
      <c r="J21" s="21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</row>
    <row r="22" customFormat="false" ht="18" hidden="false" customHeight="true" outlineLevel="0" collapsed="false">
      <c r="A22" s="23" t="n">
        <v>9</v>
      </c>
      <c r="B22" s="24" t="s">
        <v>65</v>
      </c>
      <c r="C22" s="23" t="s">
        <v>60</v>
      </c>
      <c r="D22" s="23" t="s">
        <v>66</v>
      </c>
      <c r="E22" s="24" t="s">
        <v>67</v>
      </c>
      <c r="F22" s="25" t="n">
        <v>46301</v>
      </c>
      <c r="G22" s="25" t="n">
        <v>46301</v>
      </c>
      <c r="H22" s="23" t="n">
        <f aca="false">G22-F22+1</f>
        <v>1</v>
      </c>
      <c r="I22" s="26" t="s">
        <v>51</v>
      </c>
      <c r="J22" s="26" t="s">
        <v>4</v>
      </c>
      <c r="K22" s="27" t="str">
        <f aca="false">IF(AND($F22&lt;=K$10+6,$G22&gt;=K$10),IF($I22="Hito",IF($J22="Completado","◆","◇")," "),"")</f>
        <v/>
      </c>
      <c r="L22" s="27" t="str">
        <f aca="false">IF(AND($F22&lt;=L$10+6,$G22&gt;=L$10),IF($I22="Hito",IF($J22="Completado","◆","◇")," "),"")</f>
        <v/>
      </c>
      <c r="M22" s="27" t="str">
        <f aca="false">IF(AND($F22&lt;=M$10+6,$G22&gt;=M$10),IF($I22="Hito",IF($J22="Completado","◆","◇")," "),"")</f>
        <v/>
      </c>
      <c r="N22" s="27" t="str">
        <f aca="false">IF(AND($F22&lt;=N$10+6,$G22&gt;=N$10),IF($I22="Hito",IF($J22="Completado","◆","◇")," "),"")</f>
        <v/>
      </c>
      <c r="O22" s="27" t="str">
        <f aca="false">IF(AND($F22&lt;=O$10+6,$G22&gt;=O$10),IF($I22="Hito",IF($J22="Completado","◆","◇")," "),"")</f>
        <v/>
      </c>
      <c r="P22" s="27" t="str">
        <f aca="false">IF(AND($F22&lt;=P$10+6,$G22&gt;=P$10),IF($I22="Hito",IF($J22="Completado","◆","◇")," "),"")</f>
        <v/>
      </c>
      <c r="Q22" s="27" t="str">
        <f aca="false">IF(AND($F22&lt;=Q$10+6,$G22&gt;=Q$10),IF($I22="Hito",IF($J22="Completado","◆","◇")," "),"")</f>
        <v/>
      </c>
      <c r="R22" s="27" t="str">
        <f aca="false">IF(AND($F22&lt;=R$10+6,$G22&gt;=R$10),IF($I22="Hito",IF($J22="Completado","◆","◇")," "),"")</f>
        <v/>
      </c>
      <c r="S22" s="27" t="str">
        <f aca="false">IF(AND($F22&lt;=S$10+6,$G22&gt;=S$10),IF($I22="Hito",IF($J22="Completado","◆","◇")," "),"")</f>
        <v> </v>
      </c>
      <c r="T22" s="27" t="str">
        <f aca="false">IF(AND($F22&lt;=T$10+6,$G22&gt;=T$10),IF($I22="Hito",IF($J22="Completado","◆","◇")," "),"")</f>
        <v/>
      </c>
      <c r="U22" s="27" t="str">
        <f aca="false">IF(AND($F22&lt;=U$10+6,$G22&gt;=U$10),IF($I22="Hito",IF($J22="Completado","◆","◇")," "),"")</f>
        <v/>
      </c>
      <c r="V22" s="27" t="str">
        <f aca="false">IF(AND($F22&lt;=V$10+6,$G22&gt;=V$10),IF($I22="Hito",IF($J22="Completado","◆","◇")," "),"")</f>
        <v/>
      </c>
      <c r="W22" s="27" t="str">
        <f aca="false">IF(AND($F22&lt;=W$10+6,$G22&gt;=W$10),IF($I22="Hito",IF($J22="Completado","◆","◇")," "),"")</f>
        <v/>
      </c>
      <c r="X22" s="27" t="str">
        <f aca="false">IF(AND($F22&lt;=X$10+6,$G22&gt;=X$10),IF($I22="Hito",IF($J22="Completado","◆","◇")," "),"")</f>
        <v/>
      </c>
      <c r="Y22" s="27" t="str">
        <f aca="false">IF(AND($F22&lt;=Y$10+6,$G22&gt;=Y$10),IF($I22="Hito",IF($J22="Completado","◆","◇")," "),"")</f>
        <v/>
      </c>
      <c r="Z22" s="27" t="str">
        <f aca="false">IF(AND($F22&lt;=Z$10+6,$G22&gt;=Z$10),IF($I22="Hito",IF($J22="Completado","◆","◇")," "),"")</f>
        <v/>
      </c>
      <c r="AA22" s="27" t="str">
        <f aca="false">IF(AND($F22&lt;=AA$10+6,$G22&gt;=AA$10),IF($I22="Hito",IF($J22="Completado","◆","◇")," "),"")</f>
        <v/>
      </c>
      <c r="AB22" s="27" t="str">
        <f aca="false">IF(AND($F22&lt;=AB$10+6,$G22&gt;=AB$10),IF($I22="Hito",IF($J22="Completado","◆","◇")," "),"")</f>
        <v/>
      </c>
    </row>
    <row r="23" customFormat="false" ht="30" hidden="false" customHeight="true" outlineLevel="0" collapsed="false">
      <c r="A23" s="23" t="n">
        <v>10</v>
      </c>
      <c r="B23" s="24" t="s">
        <v>68</v>
      </c>
      <c r="C23" s="23" t="s">
        <v>60</v>
      </c>
      <c r="D23" s="23" t="s">
        <v>66</v>
      </c>
      <c r="E23" s="24" t="s">
        <v>67</v>
      </c>
      <c r="F23" s="25" t="n">
        <v>46301</v>
      </c>
      <c r="G23" s="25" t="n">
        <v>46310</v>
      </c>
      <c r="H23" s="23" t="n">
        <f aca="false">G23-F23+1</f>
        <v>10</v>
      </c>
      <c r="I23" s="26" t="s">
        <v>51</v>
      </c>
      <c r="J23" s="26" t="s">
        <v>4</v>
      </c>
      <c r="K23" s="27" t="str">
        <f aca="false">IF(AND($F23&lt;=K$10+6,$G23&gt;=K$10),IF($I23="Hito",IF($J23="Completado","◆","◇")," "),"")</f>
        <v/>
      </c>
      <c r="L23" s="27" t="str">
        <f aca="false">IF(AND($F23&lt;=L$10+6,$G23&gt;=L$10),IF($I23="Hito",IF($J23="Completado","◆","◇")," "),"")</f>
        <v/>
      </c>
      <c r="M23" s="27" t="str">
        <f aca="false">IF(AND($F23&lt;=M$10+6,$G23&gt;=M$10),IF($I23="Hito",IF($J23="Completado","◆","◇")," "),"")</f>
        <v/>
      </c>
      <c r="N23" s="27" t="str">
        <f aca="false">IF(AND($F23&lt;=N$10+6,$G23&gt;=N$10),IF($I23="Hito",IF($J23="Completado","◆","◇")," "),"")</f>
        <v/>
      </c>
      <c r="O23" s="27" t="str">
        <f aca="false">IF(AND($F23&lt;=O$10+6,$G23&gt;=O$10),IF($I23="Hito",IF($J23="Completado","◆","◇")," "),"")</f>
        <v/>
      </c>
      <c r="P23" s="27" t="str">
        <f aca="false">IF(AND($F23&lt;=P$10+6,$G23&gt;=P$10),IF($I23="Hito",IF($J23="Completado","◆","◇")," "),"")</f>
        <v/>
      </c>
      <c r="Q23" s="27" t="str">
        <f aca="false">IF(AND($F23&lt;=Q$10+6,$G23&gt;=Q$10),IF($I23="Hito",IF($J23="Completado","◆","◇")," "),"")</f>
        <v/>
      </c>
      <c r="R23" s="27" t="str">
        <f aca="false">IF(AND($F23&lt;=R$10+6,$G23&gt;=R$10),IF($I23="Hito",IF($J23="Completado","◆","◇")," "),"")</f>
        <v/>
      </c>
      <c r="S23" s="27" t="str">
        <f aca="false">IF(AND($F23&lt;=S$10+6,$G23&gt;=S$10),IF($I23="Hito",IF($J23="Completado","◆","◇")," "),"")</f>
        <v> </v>
      </c>
      <c r="T23" s="27" t="str">
        <f aca="false">IF(AND($F23&lt;=T$10+6,$G23&gt;=T$10),IF($I23="Hito",IF($J23="Completado","◆","◇")," "),"")</f>
        <v> </v>
      </c>
      <c r="U23" s="27" t="str">
        <f aca="false">IF(AND($F23&lt;=U$10+6,$G23&gt;=U$10),IF($I23="Hito",IF($J23="Completado","◆","◇")," "),"")</f>
        <v/>
      </c>
      <c r="V23" s="27" t="str">
        <f aca="false">IF(AND($F23&lt;=V$10+6,$G23&gt;=V$10),IF($I23="Hito",IF($J23="Completado","◆","◇")," "),"")</f>
        <v/>
      </c>
      <c r="W23" s="27" t="str">
        <f aca="false">IF(AND($F23&lt;=W$10+6,$G23&gt;=W$10),IF($I23="Hito",IF($J23="Completado","◆","◇")," "),"")</f>
        <v/>
      </c>
      <c r="X23" s="27" t="str">
        <f aca="false">IF(AND($F23&lt;=X$10+6,$G23&gt;=X$10),IF($I23="Hito",IF($J23="Completado","◆","◇")," "),"")</f>
        <v/>
      </c>
      <c r="Y23" s="27" t="str">
        <f aca="false">IF(AND($F23&lt;=Y$10+6,$G23&gt;=Y$10),IF($I23="Hito",IF($J23="Completado","◆","◇")," "),"")</f>
        <v/>
      </c>
      <c r="Z23" s="27" t="str">
        <f aca="false">IF(AND($F23&lt;=Z$10+6,$G23&gt;=Z$10),IF($I23="Hito",IF($J23="Completado","◆","◇")," "),"")</f>
        <v/>
      </c>
      <c r="AA23" s="27" t="str">
        <f aca="false">IF(AND($F23&lt;=AA$10+6,$G23&gt;=AA$10),IF($I23="Hito",IF($J23="Completado","◆","◇")," "),"")</f>
        <v/>
      </c>
      <c r="AB23" s="27" t="str">
        <f aca="false">IF(AND($F23&lt;=AB$10+6,$G23&gt;=AB$10),IF($I23="Hito",IF($J23="Completado","◆","◇")," "),"")</f>
        <v/>
      </c>
    </row>
    <row r="24" customFormat="false" ht="30" hidden="false" customHeight="true" outlineLevel="0" collapsed="false">
      <c r="A24" s="23" t="n">
        <v>11</v>
      </c>
      <c r="B24" s="24" t="s">
        <v>69</v>
      </c>
      <c r="C24" s="23" t="s">
        <v>60</v>
      </c>
      <c r="D24" s="23" t="s">
        <v>66</v>
      </c>
      <c r="E24" s="24" t="s">
        <v>70</v>
      </c>
      <c r="F24" s="25" t="n">
        <v>46301</v>
      </c>
      <c r="G24" s="25" t="n">
        <v>46310</v>
      </c>
      <c r="H24" s="23" t="n">
        <f aca="false">G24-F24+1</f>
        <v>10</v>
      </c>
      <c r="I24" s="26" t="s">
        <v>51</v>
      </c>
      <c r="J24" s="26" t="s">
        <v>4</v>
      </c>
      <c r="K24" s="27" t="str">
        <f aca="false">IF(AND($F24&lt;=K$10+6,$G24&gt;=K$10),IF($I24="Hito",IF($J24="Completado","◆","◇")," "),"")</f>
        <v/>
      </c>
      <c r="L24" s="27" t="str">
        <f aca="false">IF(AND($F24&lt;=L$10+6,$G24&gt;=L$10),IF($I24="Hito",IF($J24="Completado","◆","◇")," "),"")</f>
        <v/>
      </c>
      <c r="M24" s="27" t="str">
        <f aca="false">IF(AND($F24&lt;=M$10+6,$G24&gt;=M$10),IF($I24="Hito",IF($J24="Completado","◆","◇")," "),"")</f>
        <v/>
      </c>
      <c r="N24" s="27" t="str">
        <f aca="false">IF(AND($F24&lt;=N$10+6,$G24&gt;=N$10),IF($I24="Hito",IF($J24="Completado","◆","◇")," "),"")</f>
        <v/>
      </c>
      <c r="O24" s="27" t="str">
        <f aca="false">IF(AND($F24&lt;=O$10+6,$G24&gt;=O$10),IF($I24="Hito",IF($J24="Completado","◆","◇")," "),"")</f>
        <v/>
      </c>
      <c r="P24" s="27" t="str">
        <f aca="false">IF(AND($F24&lt;=P$10+6,$G24&gt;=P$10),IF($I24="Hito",IF($J24="Completado","◆","◇")," "),"")</f>
        <v/>
      </c>
      <c r="Q24" s="27" t="str">
        <f aca="false">IF(AND($F24&lt;=Q$10+6,$G24&gt;=Q$10),IF($I24="Hito",IF($J24="Completado","◆","◇")," "),"")</f>
        <v/>
      </c>
      <c r="R24" s="27" t="str">
        <f aca="false">IF(AND($F24&lt;=R$10+6,$G24&gt;=R$10),IF($I24="Hito",IF($J24="Completado","◆","◇")," "),"")</f>
        <v/>
      </c>
      <c r="S24" s="27" t="str">
        <f aca="false">IF(AND($F24&lt;=S$10+6,$G24&gt;=S$10),IF($I24="Hito",IF($J24="Completado","◆","◇")," "),"")</f>
        <v> </v>
      </c>
      <c r="T24" s="27" t="str">
        <f aca="false">IF(AND($F24&lt;=T$10+6,$G24&gt;=T$10),IF($I24="Hito",IF($J24="Completado","◆","◇")," "),"")</f>
        <v> </v>
      </c>
      <c r="U24" s="27" t="str">
        <f aca="false">IF(AND($F24&lt;=U$10+6,$G24&gt;=U$10),IF($I24="Hito",IF($J24="Completado","◆","◇")," "),"")</f>
        <v/>
      </c>
      <c r="V24" s="27" t="str">
        <f aca="false">IF(AND($F24&lt;=V$10+6,$G24&gt;=V$10),IF($I24="Hito",IF($J24="Completado","◆","◇")," "),"")</f>
        <v/>
      </c>
      <c r="W24" s="27" t="str">
        <f aca="false">IF(AND($F24&lt;=W$10+6,$G24&gt;=W$10),IF($I24="Hito",IF($J24="Completado","◆","◇")," "),"")</f>
        <v/>
      </c>
      <c r="X24" s="27" t="str">
        <f aca="false">IF(AND($F24&lt;=X$10+6,$G24&gt;=X$10),IF($I24="Hito",IF($J24="Completado","◆","◇")," "),"")</f>
        <v/>
      </c>
      <c r="Y24" s="27" t="str">
        <f aca="false">IF(AND($F24&lt;=Y$10+6,$G24&gt;=Y$10),IF($I24="Hito",IF($J24="Completado","◆","◇")," "),"")</f>
        <v/>
      </c>
      <c r="Z24" s="27" t="str">
        <f aca="false">IF(AND($F24&lt;=Z$10+6,$G24&gt;=Z$10),IF($I24="Hito",IF($J24="Completado","◆","◇")," "),"")</f>
        <v/>
      </c>
      <c r="AA24" s="27" t="str">
        <f aca="false">IF(AND($F24&lt;=AA$10+6,$G24&gt;=AA$10),IF($I24="Hito",IF($J24="Completado","◆","◇")," "),"")</f>
        <v/>
      </c>
      <c r="AB24" s="27" t="str">
        <f aca="false">IF(AND($F24&lt;=AB$10+6,$G24&gt;=AB$10),IF($I24="Hito",IF($J24="Completado","◆","◇")," "),"")</f>
        <v/>
      </c>
    </row>
    <row r="25" customFormat="false" ht="18" hidden="false" customHeight="true" outlineLevel="0" collapsed="false">
      <c r="A25" s="23" t="n">
        <v>12</v>
      </c>
      <c r="B25" s="24" t="s">
        <v>71</v>
      </c>
      <c r="C25" s="23" t="s">
        <v>60</v>
      </c>
      <c r="D25" s="23" t="s">
        <v>66</v>
      </c>
      <c r="E25" s="24" t="s">
        <v>63</v>
      </c>
      <c r="F25" s="25" t="n">
        <v>46307</v>
      </c>
      <c r="G25" s="25" t="n">
        <v>46309</v>
      </c>
      <c r="H25" s="23" t="n">
        <f aca="false">G25-F25+1</f>
        <v>3</v>
      </c>
      <c r="I25" s="26" t="s">
        <v>51</v>
      </c>
      <c r="J25" s="26" t="s">
        <v>4</v>
      </c>
      <c r="K25" s="27" t="str">
        <f aca="false">IF(AND($F25&lt;=K$10+6,$G25&gt;=K$10),IF($I25="Hito",IF($J25="Completado","◆","◇")," "),"")</f>
        <v/>
      </c>
      <c r="L25" s="27" t="str">
        <f aca="false">IF(AND($F25&lt;=L$10+6,$G25&gt;=L$10),IF($I25="Hito",IF($J25="Completado","◆","◇")," "),"")</f>
        <v/>
      </c>
      <c r="M25" s="27" t="str">
        <f aca="false">IF(AND($F25&lt;=M$10+6,$G25&gt;=M$10),IF($I25="Hito",IF($J25="Completado","◆","◇")," "),"")</f>
        <v/>
      </c>
      <c r="N25" s="27" t="str">
        <f aca="false">IF(AND($F25&lt;=N$10+6,$G25&gt;=N$10),IF($I25="Hito",IF($J25="Completado","◆","◇")," "),"")</f>
        <v/>
      </c>
      <c r="O25" s="27" t="str">
        <f aca="false">IF(AND($F25&lt;=O$10+6,$G25&gt;=O$10),IF($I25="Hito",IF($J25="Completado","◆","◇")," "),"")</f>
        <v/>
      </c>
      <c r="P25" s="27" t="str">
        <f aca="false">IF(AND($F25&lt;=P$10+6,$G25&gt;=P$10),IF($I25="Hito",IF($J25="Completado","◆","◇")," "),"")</f>
        <v/>
      </c>
      <c r="Q25" s="27" t="str">
        <f aca="false">IF(AND($F25&lt;=Q$10+6,$G25&gt;=Q$10),IF($I25="Hito",IF($J25="Completado","◆","◇")," "),"")</f>
        <v/>
      </c>
      <c r="R25" s="27" t="str">
        <f aca="false">IF(AND($F25&lt;=R$10+6,$G25&gt;=R$10),IF($I25="Hito",IF($J25="Completado","◆","◇")," "),"")</f>
        <v/>
      </c>
      <c r="S25" s="27" t="str">
        <f aca="false">IF(AND($F25&lt;=S$10+6,$G25&gt;=S$10),IF($I25="Hito",IF($J25="Completado","◆","◇")," "),"")</f>
        <v/>
      </c>
      <c r="T25" s="27" t="str">
        <f aca="false">IF(AND($F25&lt;=T$10+6,$G25&gt;=T$10),IF($I25="Hito",IF($J25="Completado","◆","◇")," "),"")</f>
        <v> </v>
      </c>
      <c r="U25" s="27" t="str">
        <f aca="false">IF(AND($F25&lt;=U$10+6,$G25&gt;=U$10),IF($I25="Hito",IF($J25="Completado","◆","◇")," "),"")</f>
        <v/>
      </c>
      <c r="V25" s="27" t="str">
        <f aca="false">IF(AND($F25&lt;=V$10+6,$G25&gt;=V$10),IF($I25="Hito",IF($J25="Completado","◆","◇")," "),"")</f>
        <v/>
      </c>
      <c r="W25" s="27" t="str">
        <f aca="false">IF(AND($F25&lt;=W$10+6,$G25&gt;=W$10),IF($I25="Hito",IF($J25="Completado","◆","◇")," "),"")</f>
        <v/>
      </c>
      <c r="X25" s="27" t="str">
        <f aca="false">IF(AND($F25&lt;=X$10+6,$G25&gt;=X$10),IF($I25="Hito",IF($J25="Completado","◆","◇")," "),"")</f>
        <v/>
      </c>
      <c r="Y25" s="27" t="str">
        <f aca="false">IF(AND($F25&lt;=Y$10+6,$G25&gt;=Y$10),IF($I25="Hito",IF($J25="Completado","◆","◇")," "),"")</f>
        <v/>
      </c>
      <c r="Z25" s="27" t="str">
        <f aca="false">IF(AND($F25&lt;=Z$10+6,$G25&gt;=Z$10),IF($I25="Hito",IF($J25="Completado","◆","◇")," "),"")</f>
        <v/>
      </c>
      <c r="AA25" s="27" t="str">
        <f aca="false">IF(AND($F25&lt;=AA$10+6,$G25&gt;=AA$10),IF($I25="Hito",IF($J25="Completado","◆","◇")," "),"")</f>
        <v/>
      </c>
      <c r="AB25" s="27" t="str">
        <f aca="false">IF(AND($F25&lt;=AB$10+6,$G25&gt;=AB$10),IF($I25="Hito",IF($J25="Completado","◆","◇")," "),"")</f>
        <v/>
      </c>
    </row>
    <row r="26" customFormat="false" ht="30" hidden="false" customHeight="true" outlineLevel="0" collapsed="false">
      <c r="A26" s="23" t="n">
        <v>13</v>
      </c>
      <c r="B26" s="24" t="s">
        <v>72</v>
      </c>
      <c r="C26" s="23" t="s">
        <v>60</v>
      </c>
      <c r="D26" s="23" t="s">
        <v>66</v>
      </c>
      <c r="E26" s="24" t="s">
        <v>70</v>
      </c>
      <c r="F26" s="25" t="n">
        <v>46309</v>
      </c>
      <c r="G26" s="25" t="n">
        <v>46311</v>
      </c>
      <c r="H26" s="23" t="n">
        <f aca="false">G26-F26+1</f>
        <v>3</v>
      </c>
      <c r="I26" s="26" t="s">
        <v>51</v>
      </c>
      <c r="J26" s="26" t="s">
        <v>4</v>
      </c>
      <c r="K26" s="27" t="str">
        <f aca="false">IF(AND($F26&lt;=K$10+6,$G26&gt;=K$10),IF($I26="Hito",IF($J26="Completado","◆","◇")," "),"")</f>
        <v/>
      </c>
      <c r="L26" s="27" t="str">
        <f aca="false">IF(AND($F26&lt;=L$10+6,$G26&gt;=L$10),IF($I26="Hito",IF($J26="Completado","◆","◇")," "),"")</f>
        <v/>
      </c>
      <c r="M26" s="27" t="str">
        <f aca="false">IF(AND($F26&lt;=M$10+6,$G26&gt;=M$10),IF($I26="Hito",IF($J26="Completado","◆","◇")," "),"")</f>
        <v/>
      </c>
      <c r="N26" s="27" t="str">
        <f aca="false">IF(AND($F26&lt;=N$10+6,$G26&gt;=N$10),IF($I26="Hito",IF($J26="Completado","◆","◇")," "),"")</f>
        <v/>
      </c>
      <c r="O26" s="27" t="str">
        <f aca="false">IF(AND($F26&lt;=O$10+6,$G26&gt;=O$10),IF($I26="Hito",IF($J26="Completado","◆","◇")," "),"")</f>
        <v/>
      </c>
      <c r="P26" s="27" t="str">
        <f aca="false">IF(AND($F26&lt;=P$10+6,$G26&gt;=P$10),IF($I26="Hito",IF($J26="Completado","◆","◇")," "),"")</f>
        <v/>
      </c>
      <c r="Q26" s="27" t="str">
        <f aca="false">IF(AND($F26&lt;=Q$10+6,$G26&gt;=Q$10),IF($I26="Hito",IF($J26="Completado","◆","◇")," "),"")</f>
        <v/>
      </c>
      <c r="R26" s="27" t="str">
        <f aca="false">IF(AND($F26&lt;=R$10+6,$G26&gt;=R$10),IF($I26="Hito",IF($J26="Completado","◆","◇")," "),"")</f>
        <v/>
      </c>
      <c r="S26" s="27" t="str">
        <f aca="false">IF(AND($F26&lt;=S$10+6,$G26&gt;=S$10),IF($I26="Hito",IF($J26="Completado","◆","◇")," "),"")</f>
        <v/>
      </c>
      <c r="T26" s="27" t="str">
        <f aca="false">IF(AND($F26&lt;=T$10+6,$G26&gt;=T$10),IF($I26="Hito",IF($J26="Completado","◆","◇")," "),"")</f>
        <v> </v>
      </c>
      <c r="U26" s="27" t="str">
        <f aca="false">IF(AND($F26&lt;=U$10+6,$G26&gt;=U$10),IF($I26="Hito",IF($J26="Completado","◆","◇")," "),"")</f>
        <v/>
      </c>
      <c r="V26" s="27" t="str">
        <f aca="false">IF(AND($F26&lt;=V$10+6,$G26&gt;=V$10),IF($I26="Hito",IF($J26="Completado","◆","◇")," "),"")</f>
        <v/>
      </c>
      <c r="W26" s="27" t="str">
        <f aca="false">IF(AND($F26&lt;=W$10+6,$G26&gt;=W$10),IF($I26="Hito",IF($J26="Completado","◆","◇")," "),"")</f>
        <v/>
      </c>
      <c r="X26" s="27" t="str">
        <f aca="false">IF(AND($F26&lt;=X$10+6,$G26&gt;=X$10),IF($I26="Hito",IF($J26="Completado","◆","◇")," "),"")</f>
        <v/>
      </c>
      <c r="Y26" s="27" t="str">
        <f aca="false">IF(AND($F26&lt;=Y$10+6,$G26&gt;=Y$10),IF($I26="Hito",IF($J26="Completado","◆","◇")," "),"")</f>
        <v/>
      </c>
      <c r="Z26" s="27" t="str">
        <f aca="false">IF(AND($F26&lt;=Z$10+6,$G26&gt;=Z$10),IF($I26="Hito",IF($J26="Completado","◆","◇")," "),"")</f>
        <v/>
      </c>
      <c r="AA26" s="27" t="str">
        <f aca="false">IF(AND($F26&lt;=AA$10+6,$G26&gt;=AA$10),IF($I26="Hito",IF($J26="Completado","◆","◇")," "),"")</f>
        <v/>
      </c>
      <c r="AB26" s="27" t="str">
        <f aca="false">IF(AND($F26&lt;=AB$10+6,$G26&gt;=AB$10),IF($I26="Hito",IF($J26="Completado","◆","◇")," "),"")</f>
        <v/>
      </c>
    </row>
    <row r="27" customFormat="false" ht="18" hidden="false" customHeight="true" outlineLevel="0" collapsed="false">
      <c r="A27" s="23" t="n">
        <v>14</v>
      </c>
      <c r="B27" s="24" t="s">
        <v>73</v>
      </c>
      <c r="C27" s="23" t="s">
        <v>60</v>
      </c>
      <c r="D27" s="23" t="s">
        <v>66</v>
      </c>
      <c r="E27" s="24" t="s">
        <v>67</v>
      </c>
      <c r="F27" s="25" t="n">
        <v>46310</v>
      </c>
      <c r="G27" s="25" t="n">
        <v>46310</v>
      </c>
      <c r="H27" s="23" t="n">
        <f aca="false">G27-F27+1</f>
        <v>1</v>
      </c>
      <c r="I27" s="26" t="s">
        <v>51</v>
      </c>
      <c r="J27" s="26" t="s">
        <v>4</v>
      </c>
      <c r="K27" s="27" t="str">
        <f aca="false">IF(AND($F27&lt;=K$10+6,$G27&gt;=K$10),IF($I27="Hito",IF($J27="Completado","◆","◇")," "),"")</f>
        <v/>
      </c>
      <c r="L27" s="27" t="str">
        <f aca="false">IF(AND($F27&lt;=L$10+6,$G27&gt;=L$10),IF($I27="Hito",IF($J27="Completado","◆","◇")," "),"")</f>
        <v/>
      </c>
      <c r="M27" s="27" t="str">
        <f aca="false">IF(AND($F27&lt;=M$10+6,$G27&gt;=M$10),IF($I27="Hito",IF($J27="Completado","◆","◇")," "),"")</f>
        <v/>
      </c>
      <c r="N27" s="27" t="str">
        <f aca="false">IF(AND($F27&lt;=N$10+6,$G27&gt;=N$10),IF($I27="Hito",IF($J27="Completado","◆","◇")," "),"")</f>
        <v/>
      </c>
      <c r="O27" s="27" t="str">
        <f aca="false">IF(AND($F27&lt;=O$10+6,$G27&gt;=O$10),IF($I27="Hito",IF($J27="Completado","◆","◇")," "),"")</f>
        <v/>
      </c>
      <c r="P27" s="27" t="str">
        <f aca="false">IF(AND($F27&lt;=P$10+6,$G27&gt;=P$10),IF($I27="Hito",IF($J27="Completado","◆","◇")," "),"")</f>
        <v/>
      </c>
      <c r="Q27" s="27" t="str">
        <f aca="false">IF(AND($F27&lt;=Q$10+6,$G27&gt;=Q$10),IF($I27="Hito",IF($J27="Completado","◆","◇")," "),"")</f>
        <v/>
      </c>
      <c r="R27" s="27" t="str">
        <f aca="false">IF(AND($F27&lt;=R$10+6,$G27&gt;=R$10),IF($I27="Hito",IF($J27="Completado","◆","◇")," "),"")</f>
        <v/>
      </c>
      <c r="S27" s="27" t="str">
        <f aca="false">IF(AND($F27&lt;=S$10+6,$G27&gt;=S$10),IF($I27="Hito",IF($J27="Completado","◆","◇")," "),"")</f>
        <v/>
      </c>
      <c r="T27" s="27" t="str">
        <f aca="false">IF(AND($F27&lt;=T$10+6,$G27&gt;=T$10),IF($I27="Hito",IF($J27="Completado","◆","◇")," "),"")</f>
        <v> </v>
      </c>
      <c r="U27" s="27" t="str">
        <f aca="false">IF(AND($F27&lt;=U$10+6,$G27&gt;=U$10),IF($I27="Hito",IF($J27="Completado","◆","◇")," "),"")</f>
        <v/>
      </c>
      <c r="V27" s="27" t="str">
        <f aca="false">IF(AND($F27&lt;=V$10+6,$G27&gt;=V$10),IF($I27="Hito",IF($J27="Completado","◆","◇")," "),"")</f>
        <v/>
      </c>
      <c r="W27" s="27" t="str">
        <f aca="false">IF(AND($F27&lt;=W$10+6,$G27&gt;=W$10),IF($I27="Hito",IF($J27="Completado","◆","◇")," "),"")</f>
        <v/>
      </c>
      <c r="X27" s="27" t="str">
        <f aca="false">IF(AND($F27&lt;=X$10+6,$G27&gt;=X$10),IF($I27="Hito",IF($J27="Completado","◆","◇")," "),"")</f>
        <v/>
      </c>
      <c r="Y27" s="27" t="str">
        <f aca="false">IF(AND($F27&lt;=Y$10+6,$G27&gt;=Y$10),IF($I27="Hito",IF($J27="Completado","◆","◇")," "),"")</f>
        <v/>
      </c>
      <c r="Z27" s="27" t="str">
        <f aca="false">IF(AND($F27&lt;=Z$10+6,$G27&gt;=Z$10),IF($I27="Hito",IF($J27="Completado","◆","◇")," "),"")</f>
        <v/>
      </c>
      <c r="AA27" s="27" t="str">
        <f aca="false">IF(AND($F27&lt;=AA$10+6,$G27&gt;=AA$10),IF($I27="Hito",IF($J27="Completado","◆","◇")," "),"")</f>
        <v/>
      </c>
      <c r="AB27" s="27" t="str">
        <f aca="false">IF(AND($F27&lt;=AB$10+6,$G27&gt;=AB$10),IF($I27="Hito",IF($J27="Completado","◆","◇")," "),"")</f>
        <v/>
      </c>
    </row>
    <row r="28" customFormat="false" ht="18" hidden="false" customHeight="true" outlineLevel="0" collapsed="false">
      <c r="A28" s="23" t="n">
        <v>15</v>
      </c>
      <c r="B28" s="24" t="s">
        <v>74</v>
      </c>
      <c r="C28" s="23" t="s">
        <v>60</v>
      </c>
      <c r="D28" s="23" t="s">
        <v>66</v>
      </c>
      <c r="E28" s="24" t="s">
        <v>67</v>
      </c>
      <c r="F28" s="25" t="n">
        <v>46310</v>
      </c>
      <c r="G28" s="25" t="n">
        <v>46311</v>
      </c>
      <c r="H28" s="23" t="n">
        <f aca="false">G28-F28+1</f>
        <v>2</v>
      </c>
      <c r="I28" s="26" t="s">
        <v>51</v>
      </c>
      <c r="J28" s="26" t="s">
        <v>4</v>
      </c>
      <c r="K28" s="27" t="str">
        <f aca="false">IF(AND($F28&lt;=K$10+6,$G28&gt;=K$10),IF($I28="Hito",IF($J28="Completado","◆","◇")," "),"")</f>
        <v/>
      </c>
      <c r="L28" s="27" t="str">
        <f aca="false">IF(AND($F28&lt;=L$10+6,$G28&gt;=L$10),IF($I28="Hito",IF($J28="Completado","◆","◇")," "),"")</f>
        <v/>
      </c>
      <c r="M28" s="27" t="str">
        <f aca="false">IF(AND($F28&lt;=M$10+6,$G28&gt;=M$10),IF($I28="Hito",IF($J28="Completado","◆","◇")," "),"")</f>
        <v/>
      </c>
      <c r="N28" s="27" t="str">
        <f aca="false">IF(AND($F28&lt;=N$10+6,$G28&gt;=N$10),IF($I28="Hito",IF($J28="Completado","◆","◇")," "),"")</f>
        <v/>
      </c>
      <c r="O28" s="27" t="str">
        <f aca="false">IF(AND($F28&lt;=O$10+6,$G28&gt;=O$10),IF($I28="Hito",IF($J28="Completado","◆","◇")," "),"")</f>
        <v/>
      </c>
      <c r="P28" s="27" t="str">
        <f aca="false">IF(AND($F28&lt;=P$10+6,$G28&gt;=P$10),IF($I28="Hito",IF($J28="Completado","◆","◇")," "),"")</f>
        <v/>
      </c>
      <c r="Q28" s="27" t="str">
        <f aca="false">IF(AND($F28&lt;=Q$10+6,$G28&gt;=Q$10),IF($I28="Hito",IF($J28="Completado","◆","◇")," "),"")</f>
        <v/>
      </c>
      <c r="R28" s="27" t="str">
        <f aca="false">IF(AND($F28&lt;=R$10+6,$G28&gt;=R$10),IF($I28="Hito",IF($J28="Completado","◆","◇")," "),"")</f>
        <v/>
      </c>
      <c r="S28" s="27" t="str">
        <f aca="false">IF(AND($F28&lt;=S$10+6,$G28&gt;=S$10),IF($I28="Hito",IF($J28="Completado","◆","◇")," "),"")</f>
        <v/>
      </c>
      <c r="T28" s="27" t="str">
        <f aca="false">IF(AND($F28&lt;=T$10+6,$G28&gt;=T$10),IF($I28="Hito",IF($J28="Completado","◆","◇")," "),"")</f>
        <v> </v>
      </c>
      <c r="U28" s="27" t="str">
        <f aca="false">IF(AND($F28&lt;=U$10+6,$G28&gt;=U$10),IF($I28="Hito",IF($J28="Completado","◆","◇")," "),"")</f>
        <v/>
      </c>
      <c r="V28" s="27" t="str">
        <f aca="false">IF(AND($F28&lt;=V$10+6,$G28&gt;=V$10),IF($I28="Hito",IF($J28="Completado","◆","◇")," "),"")</f>
        <v/>
      </c>
      <c r="W28" s="27" t="str">
        <f aca="false">IF(AND($F28&lt;=W$10+6,$G28&gt;=W$10),IF($I28="Hito",IF($J28="Completado","◆","◇")," "),"")</f>
        <v/>
      </c>
      <c r="X28" s="27" t="str">
        <f aca="false">IF(AND($F28&lt;=X$10+6,$G28&gt;=X$10),IF($I28="Hito",IF($J28="Completado","◆","◇")," "),"")</f>
        <v/>
      </c>
      <c r="Y28" s="27" t="str">
        <f aca="false">IF(AND($F28&lt;=Y$10+6,$G28&gt;=Y$10),IF($I28="Hito",IF($J28="Completado","◆","◇")," "),"")</f>
        <v/>
      </c>
      <c r="Z28" s="27" t="str">
        <f aca="false">IF(AND($F28&lt;=Z$10+6,$G28&gt;=Z$10),IF($I28="Hito",IF($J28="Completado","◆","◇")," "),"")</f>
        <v/>
      </c>
      <c r="AA28" s="27" t="str">
        <f aca="false">IF(AND($F28&lt;=AA$10+6,$G28&gt;=AA$10),IF($I28="Hito",IF($J28="Completado","◆","◇")," "),"")</f>
        <v/>
      </c>
      <c r="AB28" s="27" t="str">
        <f aca="false">IF(AND($F28&lt;=AB$10+6,$G28&gt;=AB$10),IF($I28="Hito",IF($J28="Completado","◆","◇")," "),"")</f>
        <v/>
      </c>
    </row>
    <row r="29" customFormat="false" ht="18" hidden="false" customHeight="true" outlineLevel="0" collapsed="false">
      <c r="A29" s="23" t="n">
        <v>16</v>
      </c>
      <c r="B29" s="24" t="s">
        <v>75</v>
      </c>
      <c r="C29" s="23" t="s">
        <v>60</v>
      </c>
      <c r="D29" s="23" t="s">
        <v>66</v>
      </c>
      <c r="E29" s="24" t="s">
        <v>48</v>
      </c>
      <c r="F29" s="25" t="n">
        <v>46307</v>
      </c>
      <c r="G29" s="25" t="n">
        <v>46311</v>
      </c>
      <c r="H29" s="23" t="n">
        <f aca="false">G29-F29+1</f>
        <v>5</v>
      </c>
      <c r="I29" s="26" t="s">
        <v>51</v>
      </c>
      <c r="J29" s="26" t="s">
        <v>4</v>
      </c>
      <c r="K29" s="27" t="str">
        <f aca="false">IF(AND($F29&lt;=K$10+6,$G29&gt;=K$10),IF($I29="Hito",IF($J29="Completado","◆","◇")," "),"")</f>
        <v/>
      </c>
      <c r="L29" s="27" t="str">
        <f aca="false">IF(AND($F29&lt;=L$10+6,$G29&gt;=L$10),IF($I29="Hito",IF($J29="Completado","◆","◇")," "),"")</f>
        <v/>
      </c>
      <c r="M29" s="27" t="str">
        <f aca="false">IF(AND($F29&lt;=M$10+6,$G29&gt;=M$10),IF($I29="Hito",IF($J29="Completado","◆","◇")," "),"")</f>
        <v/>
      </c>
      <c r="N29" s="27" t="str">
        <f aca="false">IF(AND($F29&lt;=N$10+6,$G29&gt;=N$10),IF($I29="Hito",IF($J29="Completado","◆","◇")," "),"")</f>
        <v/>
      </c>
      <c r="O29" s="27" t="str">
        <f aca="false">IF(AND($F29&lt;=O$10+6,$G29&gt;=O$10),IF($I29="Hito",IF($J29="Completado","◆","◇")," "),"")</f>
        <v/>
      </c>
      <c r="P29" s="27" t="str">
        <f aca="false">IF(AND($F29&lt;=P$10+6,$G29&gt;=P$10),IF($I29="Hito",IF($J29="Completado","◆","◇")," "),"")</f>
        <v/>
      </c>
      <c r="Q29" s="27" t="str">
        <f aca="false">IF(AND($F29&lt;=Q$10+6,$G29&gt;=Q$10),IF($I29="Hito",IF($J29="Completado","◆","◇")," "),"")</f>
        <v/>
      </c>
      <c r="R29" s="27" t="str">
        <f aca="false">IF(AND($F29&lt;=R$10+6,$G29&gt;=R$10),IF($I29="Hito",IF($J29="Completado","◆","◇")," "),"")</f>
        <v/>
      </c>
      <c r="S29" s="27" t="str">
        <f aca="false">IF(AND($F29&lt;=S$10+6,$G29&gt;=S$10),IF($I29="Hito",IF($J29="Completado","◆","◇")," "),"")</f>
        <v/>
      </c>
      <c r="T29" s="27" t="str">
        <f aca="false">IF(AND($F29&lt;=T$10+6,$G29&gt;=T$10),IF($I29="Hito",IF($J29="Completado","◆","◇")," "),"")</f>
        <v> </v>
      </c>
      <c r="U29" s="27" t="str">
        <f aca="false">IF(AND($F29&lt;=U$10+6,$G29&gt;=U$10),IF($I29="Hito",IF($J29="Completado","◆","◇")," "),"")</f>
        <v/>
      </c>
      <c r="V29" s="27" t="str">
        <f aca="false">IF(AND($F29&lt;=V$10+6,$G29&gt;=V$10),IF($I29="Hito",IF($J29="Completado","◆","◇")," "),"")</f>
        <v/>
      </c>
      <c r="W29" s="27" t="str">
        <f aca="false">IF(AND($F29&lt;=W$10+6,$G29&gt;=W$10),IF($I29="Hito",IF($J29="Completado","◆","◇")," "),"")</f>
        <v/>
      </c>
      <c r="X29" s="27" t="str">
        <f aca="false">IF(AND($F29&lt;=X$10+6,$G29&gt;=X$10),IF($I29="Hito",IF($J29="Completado","◆","◇")," "),"")</f>
        <v/>
      </c>
      <c r="Y29" s="27" t="str">
        <f aca="false">IF(AND($F29&lt;=Y$10+6,$G29&gt;=Y$10),IF($I29="Hito",IF($J29="Completado","◆","◇")," "),"")</f>
        <v/>
      </c>
      <c r="Z29" s="27" t="str">
        <f aca="false">IF(AND($F29&lt;=Z$10+6,$G29&gt;=Z$10),IF($I29="Hito",IF($J29="Completado","◆","◇")," "),"")</f>
        <v/>
      </c>
      <c r="AA29" s="27" t="str">
        <f aca="false">IF(AND($F29&lt;=AA$10+6,$G29&gt;=AA$10),IF($I29="Hito",IF($J29="Completado","◆","◇")," "),"")</f>
        <v/>
      </c>
      <c r="AB29" s="27" t="str">
        <f aca="false">IF(AND($F29&lt;=AB$10+6,$G29&gt;=AB$10),IF($I29="Hito",IF($J29="Completado","◆","◇")," "),"")</f>
        <v/>
      </c>
    </row>
    <row r="30" customFormat="false" ht="18" hidden="false" customHeight="true" outlineLevel="0" collapsed="false">
      <c r="A30" s="23" t="n">
        <v>17</v>
      </c>
      <c r="B30" s="24" t="s">
        <v>76</v>
      </c>
      <c r="C30" s="23" t="s">
        <v>60</v>
      </c>
      <c r="D30" s="23" t="s">
        <v>66</v>
      </c>
      <c r="E30" s="24" t="s">
        <v>48</v>
      </c>
      <c r="F30" s="25" t="n">
        <v>46311</v>
      </c>
      <c r="G30" s="25" t="n">
        <v>46311</v>
      </c>
      <c r="H30" s="23" t="n">
        <f aca="false">G30-F30+1</f>
        <v>1</v>
      </c>
      <c r="I30" s="26" t="s">
        <v>49</v>
      </c>
      <c r="J30" s="26" t="s">
        <v>4</v>
      </c>
      <c r="K30" s="27" t="str">
        <f aca="false">IF(AND($F30&lt;=K$10+6,$G30&gt;=K$10),IF($I30="Hito",IF($J30="Completado","◆","◇")," "),"")</f>
        <v/>
      </c>
      <c r="L30" s="27" t="str">
        <f aca="false">IF(AND($F30&lt;=L$10+6,$G30&gt;=L$10),IF($I30="Hito",IF($J30="Completado","◆","◇")," "),"")</f>
        <v/>
      </c>
      <c r="M30" s="27" t="str">
        <f aca="false">IF(AND($F30&lt;=M$10+6,$G30&gt;=M$10),IF($I30="Hito",IF($J30="Completado","◆","◇")," "),"")</f>
        <v/>
      </c>
      <c r="N30" s="27" t="str">
        <f aca="false">IF(AND($F30&lt;=N$10+6,$G30&gt;=N$10),IF($I30="Hito",IF($J30="Completado","◆","◇")," "),"")</f>
        <v/>
      </c>
      <c r="O30" s="27" t="str">
        <f aca="false">IF(AND($F30&lt;=O$10+6,$G30&gt;=O$10),IF($I30="Hito",IF($J30="Completado","◆","◇")," "),"")</f>
        <v/>
      </c>
      <c r="P30" s="27" t="str">
        <f aca="false">IF(AND($F30&lt;=P$10+6,$G30&gt;=P$10),IF($I30="Hito",IF($J30="Completado","◆","◇")," "),"")</f>
        <v/>
      </c>
      <c r="Q30" s="27" t="str">
        <f aca="false">IF(AND($F30&lt;=Q$10+6,$G30&gt;=Q$10),IF($I30="Hito",IF($J30="Completado","◆","◇")," "),"")</f>
        <v/>
      </c>
      <c r="R30" s="27" t="str">
        <f aca="false">IF(AND($F30&lt;=R$10+6,$G30&gt;=R$10),IF($I30="Hito",IF($J30="Completado","◆","◇")," "),"")</f>
        <v/>
      </c>
      <c r="S30" s="27" t="str">
        <f aca="false">IF(AND($F30&lt;=S$10+6,$G30&gt;=S$10),IF($I30="Hito",IF($J30="Completado","◆","◇")," "),"")</f>
        <v/>
      </c>
      <c r="T30" s="27" t="str">
        <f aca="false">IF(AND($F30&lt;=T$10+6,$G30&gt;=T$10),IF($I30="Hito",IF($J30="Completado","◆","◇")," "),"")</f>
        <v>◆</v>
      </c>
      <c r="U30" s="27" t="str">
        <f aca="false">IF(AND($F30&lt;=U$10+6,$G30&gt;=U$10),IF($I30="Hito",IF($J30="Completado","◆","◇")," "),"")</f>
        <v/>
      </c>
      <c r="V30" s="27" t="str">
        <f aca="false">IF(AND($F30&lt;=V$10+6,$G30&gt;=V$10),IF($I30="Hito",IF($J30="Completado","◆","◇")," "),"")</f>
        <v/>
      </c>
      <c r="W30" s="27" t="str">
        <f aca="false">IF(AND($F30&lt;=W$10+6,$G30&gt;=W$10),IF($I30="Hito",IF($J30="Completado","◆","◇")," "),"")</f>
        <v/>
      </c>
      <c r="X30" s="27" t="str">
        <f aca="false">IF(AND($F30&lt;=X$10+6,$G30&gt;=X$10),IF($I30="Hito",IF($J30="Completado","◆","◇")," "),"")</f>
        <v/>
      </c>
      <c r="Y30" s="27" t="str">
        <f aca="false">IF(AND($F30&lt;=Y$10+6,$G30&gt;=Y$10),IF($I30="Hito",IF($J30="Completado","◆","◇")," "),"")</f>
        <v/>
      </c>
      <c r="Z30" s="27" t="str">
        <f aca="false">IF(AND($F30&lt;=Z$10+6,$G30&gt;=Z$10),IF($I30="Hito",IF($J30="Completado","◆","◇")," "),"")</f>
        <v/>
      </c>
      <c r="AA30" s="27" t="str">
        <f aca="false">IF(AND($F30&lt;=AA$10+6,$G30&gt;=AA$10),IF($I30="Hito",IF($J30="Completado","◆","◇")," "),"")</f>
        <v/>
      </c>
      <c r="AB30" s="27" t="str">
        <f aca="false">IF(AND($F30&lt;=AB$10+6,$G30&gt;=AB$10),IF($I30="Hito",IF($J30="Completado","◆","◇")," "),"")</f>
        <v/>
      </c>
    </row>
    <row r="31" customFormat="false" ht="30" hidden="false" customHeight="true" outlineLevel="0" collapsed="false">
      <c r="A31" s="23" t="n">
        <v>18</v>
      </c>
      <c r="B31" s="24" t="s">
        <v>77</v>
      </c>
      <c r="C31" s="23" t="s">
        <v>60</v>
      </c>
      <c r="D31" s="23" t="s">
        <v>66</v>
      </c>
      <c r="E31" s="24" t="s">
        <v>48</v>
      </c>
      <c r="F31" s="25" t="n">
        <v>46307</v>
      </c>
      <c r="G31" s="25" t="n">
        <v>46314</v>
      </c>
      <c r="H31" s="23" t="n">
        <f aca="false">G31-F31+1</f>
        <v>8</v>
      </c>
      <c r="I31" s="26" t="s">
        <v>51</v>
      </c>
      <c r="J31" s="26" t="s">
        <v>4</v>
      </c>
      <c r="K31" s="27" t="str">
        <f aca="false">IF(AND($F31&lt;=K$10+6,$G31&gt;=K$10),IF($I31="Hito",IF($J31="Completado","◆","◇")," "),"")</f>
        <v/>
      </c>
      <c r="L31" s="27" t="str">
        <f aca="false">IF(AND($F31&lt;=L$10+6,$G31&gt;=L$10),IF($I31="Hito",IF($J31="Completado","◆","◇")," "),"")</f>
        <v/>
      </c>
      <c r="M31" s="27" t="str">
        <f aca="false">IF(AND($F31&lt;=M$10+6,$G31&gt;=M$10),IF($I31="Hito",IF($J31="Completado","◆","◇")," "),"")</f>
        <v/>
      </c>
      <c r="N31" s="27" t="str">
        <f aca="false">IF(AND($F31&lt;=N$10+6,$G31&gt;=N$10),IF($I31="Hito",IF($J31="Completado","◆","◇")," "),"")</f>
        <v/>
      </c>
      <c r="O31" s="27" t="str">
        <f aca="false">IF(AND($F31&lt;=O$10+6,$G31&gt;=O$10),IF($I31="Hito",IF($J31="Completado","◆","◇")," "),"")</f>
        <v/>
      </c>
      <c r="P31" s="27" t="str">
        <f aca="false">IF(AND($F31&lt;=P$10+6,$G31&gt;=P$10),IF($I31="Hito",IF($J31="Completado","◆","◇")," "),"")</f>
        <v/>
      </c>
      <c r="Q31" s="27" t="str">
        <f aca="false">IF(AND($F31&lt;=Q$10+6,$G31&gt;=Q$10),IF($I31="Hito",IF($J31="Completado","◆","◇")," "),"")</f>
        <v/>
      </c>
      <c r="R31" s="27" t="str">
        <f aca="false">IF(AND($F31&lt;=R$10+6,$G31&gt;=R$10),IF($I31="Hito",IF($J31="Completado","◆","◇")," "),"")</f>
        <v/>
      </c>
      <c r="S31" s="27" t="str">
        <f aca="false">IF(AND($F31&lt;=S$10+6,$G31&gt;=S$10),IF($I31="Hito",IF($J31="Completado","◆","◇")," "),"")</f>
        <v/>
      </c>
      <c r="T31" s="27" t="str">
        <f aca="false">IF(AND($F31&lt;=T$10+6,$G31&gt;=T$10),IF($I31="Hito",IF($J31="Completado","◆","◇")," "),"")</f>
        <v> </v>
      </c>
      <c r="U31" s="27" t="str">
        <f aca="false">IF(AND($F31&lt;=U$10+6,$G31&gt;=U$10),IF($I31="Hito",IF($J31="Completado","◆","◇")," "),"")</f>
        <v> </v>
      </c>
      <c r="V31" s="27" t="str">
        <f aca="false">IF(AND($F31&lt;=V$10+6,$G31&gt;=V$10),IF($I31="Hito",IF($J31="Completado","◆","◇")," "),"")</f>
        <v/>
      </c>
      <c r="W31" s="27" t="str">
        <f aca="false">IF(AND($F31&lt;=W$10+6,$G31&gt;=W$10),IF($I31="Hito",IF($J31="Completado","◆","◇")," "),"")</f>
        <v/>
      </c>
      <c r="X31" s="27" t="str">
        <f aca="false">IF(AND($F31&lt;=X$10+6,$G31&gt;=X$10),IF($I31="Hito",IF($J31="Completado","◆","◇")," "),"")</f>
        <v/>
      </c>
      <c r="Y31" s="27" t="str">
        <f aca="false">IF(AND($F31&lt;=Y$10+6,$G31&gt;=Y$10),IF($I31="Hito",IF($J31="Completado","◆","◇")," "),"")</f>
        <v/>
      </c>
      <c r="Z31" s="27" t="str">
        <f aca="false">IF(AND($F31&lt;=Z$10+6,$G31&gt;=Z$10),IF($I31="Hito",IF($J31="Completado","◆","◇")," "),"")</f>
        <v/>
      </c>
      <c r="AA31" s="27" t="str">
        <f aca="false">IF(AND($F31&lt;=AA$10+6,$G31&gt;=AA$10),IF($I31="Hito",IF($J31="Completado","◆","◇")," "),"")</f>
        <v/>
      </c>
      <c r="AB31" s="27" t="str">
        <f aca="false">IF(AND($F31&lt;=AB$10+6,$G31&gt;=AB$10),IF($I31="Hito",IF($J31="Completado","◆","◇")," "),"")</f>
        <v/>
      </c>
    </row>
    <row r="32" customFormat="false" ht="30" hidden="false" customHeight="true" outlineLevel="0" collapsed="false">
      <c r="A32" s="23" t="n">
        <v>19</v>
      </c>
      <c r="B32" s="24" t="s">
        <v>78</v>
      </c>
      <c r="C32" s="23" t="s">
        <v>60</v>
      </c>
      <c r="D32" s="23" t="s">
        <v>66</v>
      </c>
      <c r="E32" s="24" t="s">
        <v>63</v>
      </c>
      <c r="F32" s="25" t="n">
        <v>46309</v>
      </c>
      <c r="G32" s="25" t="n">
        <v>46316</v>
      </c>
      <c r="H32" s="23" t="n">
        <f aca="false">G32-F32+1</f>
        <v>8</v>
      </c>
      <c r="I32" s="26" t="s">
        <v>51</v>
      </c>
      <c r="J32" s="26" t="s">
        <v>4</v>
      </c>
      <c r="K32" s="27" t="str">
        <f aca="false">IF(AND($F32&lt;=K$10+6,$G32&gt;=K$10),IF($I32="Hito",IF($J32="Completado","◆","◇")," "),"")</f>
        <v/>
      </c>
      <c r="L32" s="27" t="str">
        <f aca="false">IF(AND($F32&lt;=L$10+6,$G32&gt;=L$10),IF($I32="Hito",IF($J32="Completado","◆","◇")," "),"")</f>
        <v/>
      </c>
      <c r="M32" s="27" t="str">
        <f aca="false">IF(AND($F32&lt;=M$10+6,$G32&gt;=M$10),IF($I32="Hito",IF($J32="Completado","◆","◇")," "),"")</f>
        <v/>
      </c>
      <c r="N32" s="27" t="str">
        <f aca="false">IF(AND($F32&lt;=N$10+6,$G32&gt;=N$10),IF($I32="Hito",IF($J32="Completado","◆","◇")," "),"")</f>
        <v/>
      </c>
      <c r="O32" s="27" t="str">
        <f aca="false">IF(AND($F32&lt;=O$10+6,$G32&gt;=O$10),IF($I32="Hito",IF($J32="Completado","◆","◇")," "),"")</f>
        <v/>
      </c>
      <c r="P32" s="27" t="str">
        <f aca="false">IF(AND($F32&lt;=P$10+6,$G32&gt;=P$10),IF($I32="Hito",IF($J32="Completado","◆","◇")," "),"")</f>
        <v/>
      </c>
      <c r="Q32" s="27" t="str">
        <f aca="false">IF(AND($F32&lt;=Q$10+6,$G32&gt;=Q$10),IF($I32="Hito",IF($J32="Completado","◆","◇")," "),"")</f>
        <v/>
      </c>
      <c r="R32" s="27" t="str">
        <f aca="false">IF(AND($F32&lt;=R$10+6,$G32&gt;=R$10),IF($I32="Hito",IF($J32="Completado","◆","◇")," "),"")</f>
        <v/>
      </c>
      <c r="S32" s="27" t="str">
        <f aca="false">IF(AND($F32&lt;=S$10+6,$G32&gt;=S$10),IF($I32="Hito",IF($J32="Completado","◆","◇")," "),"")</f>
        <v/>
      </c>
      <c r="T32" s="27" t="str">
        <f aca="false">IF(AND($F32&lt;=T$10+6,$G32&gt;=T$10),IF($I32="Hito",IF($J32="Completado","◆","◇")," "),"")</f>
        <v> </v>
      </c>
      <c r="U32" s="27" t="str">
        <f aca="false">IF(AND($F32&lt;=U$10+6,$G32&gt;=U$10),IF($I32="Hito",IF($J32="Completado","◆","◇")," "),"")</f>
        <v> </v>
      </c>
      <c r="V32" s="27" t="str">
        <f aca="false">IF(AND($F32&lt;=V$10+6,$G32&gt;=V$10),IF($I32="Hito",IF($J32="Completado","◆","◇")," "),"")</f>
        <v/>
      </c>
      <c r="W32" s="27" t="str">
        <f aca="false">IF(AND($F32&lt;=W$10+6,$G32&gt;=W$10),IF($I32="Hito",IF($J32="Completado","◆","◇")," "),"")</f>
        <v/>
      </c>
      <c r="X32" s="27" t="str">
        <f aca="false">IF(AND($F32&lt;=X$10+6,$G32&gt;=X$10),IF($I32="Hito",IF($J32="Completado","◆","◇")," "),"")</f>
        <v/>
      </c>
      <c r="Y32" s="27" t="str">
        <f aca="false">IF(AND($F32&lt;=Y$10+6,$G32&gt;=Y$10),IF($I32="Hito",IF($J32="Completado","◆","◇")," "),"")</f>
        <v/>
      </c>
      <c r="Z32" s="27" t="str">
        <f aca="false">IF(AND($F32&lt;=Z$10+6,$G32&gt;=Z$10),IF($I32="Hito",IF($J32="Completado","◆","◇")," "),"")</f>
        <v/>
      </c>
      <c r="AA32" s="27" t="str">
        <f aca="false">IF(AND($F32&lt;=AA$10+6,$G32&gt;=AA$10),IF($I32="Hito",IF($J32="Completado","◆","◇")," "),"")</f>
        <v/>
      </c>
      <c r="AB32" s="27" t="str">
        <f aca="false">IF(AND($F32&lt;=AB$10+6,$G32&gt;=AB$10),IF($I32="Hito",IF($J32="Completado","◆","◇")," "),"")</f>
        <v/>
      </c>
    </row>
    <row r="33" customFormat="false" ht="18" hidden="false" customHeight="true" outlineLevel="0" collapsed="false">
      <c r="A33" s="21" t="s">
        <v>79</v>
      </c>
      <c r="B33" s="21"/>
      <c r="C33" s="21"/>
      <c r="D33" s="21"/>
      <c r="E33" s="21"/>
      <c r="F33" s="21"/>
      <c r="G33" s="21"/>
      <c r="H33" s="21"/>
      <c r="I33" s="21"/>
      <c r="J33" s="21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</row>
    <row r="34" customFormat="false" ht="18" hidden="false" customHeight="true" outlineLevel="0" collapsed="false">
      <c r="A34" s="23" t="n">
        <v>20</v>
      </c>
      <c r="B34" s="24" t="s">
        <v>80</v>
      </c>
      <c r="C34" s="23" t="s">
        <v>60</v>
      </c>
      <c r="D34" s="23" t="s">
        <v>81</v>
      </c>
      <c r="E34" s="24" t="s">
        <v>48</v>
      </c>
      <c r="F34" s="25" t="n">
        <v>46315</v>
      </c>
      <c r="G34" s="25" t="n">
        <v>46315</v>
      </c>
      <c r="H34" s="23" t="n">
        <f aca="false">G34-F34+1</f>
        <v>1</v>
      </c>
      <c r="I34" s="26" t="s">
        <v>49</v>
      </c>
      <c r="J34" s="26" t="s">
        <v>4</v>
      </c>
      <c r="K34" s="27" t="str">
        <f aca="false">IF(AND($F34&lt;=K$10+6,$G34&gt;=K$10),IF($I34="Hito",IF($J34="Completado","◆","◇")," "),"")</f>
        <v/>
      </c>
      <c r="L34" s="27" t="str">
        <f aca="false">IF(AND($F34&lt;=L$10+6,$G34&gt;=L$10),IF($I34="Hito",IF($J34="Completado","◆","◇")," "),"")</f>
        <v/>
      </c>
      <c r="M34" s="27" t="str">
        <f aca="false">IF(AND($F34&lt;=M$10+6,$G34&gt;=M$10),IF($I34="Hito",IF($J34="Completado","◆","◇")," "),"")</f>
        <v/>
      </c>
      <c r="N34" s="27" t="str">
        <f aca="false">IF(AND($F34&lt;=N$10+6,$G34&gt;=N$10),IF($I34="Hito",IF($J34="Completado","◆","◇")," "),"")</f>
        <v/>
      </c>
      <c r="O34" s="27" t="str">
        <f aca="false">IF(AND($F34&lt;=O$10+6,$G34&gt;=O$10),IF($I34="Hito",IF($J34="Completado","◆","◇")," "),"")</f>
        <v/>
      </c>
      <c r="P34" s="27" t="str">
        <f aca="false">IF(AND($F34&lt;=P$10+6,$G34&gt;=P$10),IF($I34="Hito",IF($J34="Completado","◆","◇")," "),"")</f>
        <v/>
      </c>
      <c r="Q34" s="27" t="str">
        <f aca="false">IF(AND($F34&lt;=Q$10+6,$G34&gt;=Q$10),IF($I34="Hito",IF($J34="Completado","◆","◇")," "),"")</f>
        <v/>
      </c>
      <c r="R34" s="27" t="str">
        <f aca="false">IF(AND($F34&lt;=R$10+6,$G34&gt;=R$10),IF($I34="Hito",IF($J34="Completado","◆","◇")," "),"")</f>
        <v/>
      </c>
      <c r="S34" s="27" t="str">
        <f aca="false">IF(AND($F34&lt;=S$10+6,$G34&gt;=S$10),IF($I34="Hito",IF($J34="Completado","◆","◇")," "),"")</f>
        <v/>
      </c>
      <c r="T34" s="27" t="str">
        <f aca="false">IF(AND($F34&lt;=T$10+6,$G34&gt;=T$10),IF($I34="Hito",IF($J34="Completado","◆","◇")," "),"")</f>
        <v/>
      </c>
      <c r="U34" s="27" t="str">
        <f aca="false">IF(AND($F34&lt;=U$10+6,$G34&gt;=U$10),IF($I34="Hito",IF($J34="Completado","◆","◇")," "),"")</f>
        <v>◆</v>
      </c>
      <c r="V34" s="27" t="str">
        <f aca="false">IF(AND($F34&lt;=V$10+6,$G34&gt;=V$10),IF($I34="Hito",IF($J34="Completado","◆","◇")," "),"")</f>
        <v/>
      </c>
      <c r="W34" s="27" t="str">
        <f aca="false">IF(AND($F34&lt;=W$10+6,$G34&gt;=W$10),IF($I34="Hito",IF($J34="Completado","◆","◇")," "),"")</f>
        <v/>
      </c>
      <c r="X34" s="27" t="str">
        <f aca="false">IF(AND($F34&lt;=X$10+6,$G34&gt;=X$10),IF($I34="Hito",IF($J34="Completado","◆","◇")," "),"")</f>
        <v/>
      </c>
      <c r="Y34" s="27" t="str">
        <f aca="false">IF(AND($F34&lt;=Y$10+6,$G34&gt;=Y$10),IF($I34="Hito",IF($J34="Completado","◆","◇")," "),"")</f>
        <v/>
      </c>
      <c r="Z34" s="27" t="str">
        <f aca="false">IF(AND($F34&lt;=Z$10+6,$G34&gt;=Z$10),IF($I34="Hito",IF($J34="Completado","◆","◇")," "),"")</f>
        <v/>
      </c>
      <c r="AA34" s="27" t="str">
        <f aca="false">IF(AND($F34&lt;=AA$10+6,$G34&gt;=AA$10),IF($I34="Hito",IF($J34="Completado","◆","◇")," "),"")</f>
        <v/>
      </c>
      <c r="AB34" s="27" t="str">
        <f aca="false">IF(AND($F34&lt;=AB$10+6,$G34&gt;=AB$10),IF($I34="Hito",IF($J34="Completado","◆","◇")," "),"")</f>
        <v/>
      </c>
    </row>
    <row r="35" customFormat="false" ht="30" hidden="false" customHeight="true" outlineLevel="0" collapsed="false">
      <c r="A35" s="23" t="n">
        <v>21</v>
      </c>
      <c r="B35" s="24" t="s">
        <v>82</v>
      </c>
      <c r="C35" s="23" t="s">
        <v>60</v>
      </c>
      <c r="D35" s="23" t="s">
        <v>81</v>
      </c>
      <c r="E35" s="24" t="s">
        <v>83</v>
      </c>
      <c r="F35" s="25" t="n">
        <v>46315</v>
      </c>
      <c r="G35" s="25" t="n">
        <v>46316</v>
      </c>
      <c r="H35" s="23" t="n">
        <f aca="false">G35-F35+1</f>
        <v>2</v>
      </c>
      <c r="I35" s="26" t="s">
        <v>51</v>
      </c>
      <c r="J35" s="26" t="s">
        <v>4</v>
      </c>
      <c r="K35" s="27" t="str">
        <f aca="false">IF(AND($F35&lt;=K$10+6,$G35&gt;=K$10),IF($I35="Hito",IF($J35="Completado","◆","◇")," "),"")</f>
        <v/>
      </c>
      <c r="L35" s="27" t="str">
        <f aca="false">IF(AND($F35&lt;=L$10+6,$G35&gt;=L$10),IF($I35="Hito",IF($J35="Completado","◆","◇")," "),"")</f>
        <v/>
      </c>
      <c r="M35" s="27" t="str">
        <f aca="false">IF(AND($F35&lt;=M$10+6,$G35&gt;=M$10),IF($I35="Hito",IF($J35="Completado","◆","◇")," "),"")</f>
        <v/>
      </c>
      <c r="N35" s="27" t="str">
        <f aca="false">IF(AND($F35&lt;=N$10+6,$G35&gt;=N$10),IF($I35="Hito",IF($J35="Completado","◆","◇")," "),"")</f>
        <v/>
      </c>
      <c r="O35" s="27" t="str">
        <f aca="false">IF(AND($F35&lt;=O$10+6,$G35&gt;=O$10),IF($I35="Hito",IF($J35="Completado","◆","◇")," "),"")</f>
        <v/>
      </c>
      <c r="P35" s="27" t="str">
        <f aca="false">IF(AND($F35&lt;=P$10+6,$G35&gt;=P$10),IF($I35="Hito",IF($J35="Completado","◆","◇")," "),"")</f>
        <v/>
      </c>
      <c r="Q35" s="27" t="str">
        <f aca="false">IF(AND($F35&lt;=Q$10+6,$G35&gt;=Q$10),IF($I35="Hito",IF($J35="Completado","◆","◇")," "),"")</f>
        <v/>
      </c>
      <c r="R35" s="27" t="str">
        <f aca="false">IF(AND($F35&lt;=R$10+6,$G35&gt;=R$10),IF($I35="Hito",IF($J35="Completado","◆","◇")," "),"")</f>
        <v/>
      </c>
      <c r="S35" s="27" t="str">
        <f aca="false">IF(AND($F35&lt;=S$10+6,$G35&gt;=S$10),IF($I35="Hito",IF($J35="Completado","◆","◇")," "),"")</f>
        <v/>
      </c>
      <c r="T35" s="27" t="str">
        <f aca="false">IF(AND($F35&lt;=T$10+6,$G35&gt;=T$10),IF($I35="Hito",IF($J35="Completado","◆","◇")," "),"")</f>
        <v/>
      </c>
      <c r="U35" s="27" t="str">
        <f aca="false">IF(AND($F35&lt;=U$10+6,$G35&gt;=U$10),IF($I35="Hito",IF($J35="Completado","◆","◇")," "),"")</f>
        <v> </v>
      </c>
      <c r="V35" s="27" t="str">
        <f aca="false">IF(AND($F35&lt;=V$10+6,$G35&gt;=V$10),IF($I35="Hito",IF($J35="Completado","◆","◇")," "),"")</f>
        <v/>
      </c>
      <c r="W35" s="27" t="str">
        <f aca="false">IF(AND($F35&lt;=W$10+6,$G35&gt;=W$10),IF($I35="Hito",IF($J35="Completado","◆","◇")," "),"")</f>
        <v/>
      </c>
      <c r="X35" s="27" t="str">
        <f aca="false">IF(AND($F35&lt;=X$10+6,$G35&gt;=X$10),IF($I35="Hito",IF($J35="Completado","◆","◇")," "),"")</f>
        <v/>
      </c>
      <c r="Y35" s="27" t="str">
        <f aca="false">IF(AND($F35&lt;=Y$10+6,$G35&gt;=Y$10),IF($I35="Hito",IF($J35="Completado","◆","◇")," "),"")</f>
        <v/>
      </c>
      <c r="Z35" s="27" t="str">
        <f aca="false">IF(AND($F35&lt;=Z$10+6,$G35&gt;=Z$10),IF($I35="Hito",IF($J35="Completado","◆","◇")," "),"")</f>
        <v/>
      </c>
      <c r="AA35" s="27" t="str">
        <f aca="false">IF(AND($F35&lt;=AA$10+6,$G35&gt;=AA$10),IF($I35="Hito",IF($J35="Completado","◆","◇")," "),"")</f>
        <v/>
      </c>
      <c r="AB35" s="27" t="str">
        <f aca="false">IF(AND($F35&lt;=AB$10+6,$G35&gt;=AB$10),IF($I35="Hito",IF($J35="Completado","◆","◇")," "),"")</f>
        <v/>
      </c>
    </row>
    <row r="36" customFormat="false" ht="18" hidden="false" customHeight="true" outlineLevel="0" collapsed="false">
      <c r="A36" s="23" t="n">
        <v>22</v>
      </c>
      <c r="B36" s="24" t="s">
        <v>84</v>
      </c>
      <c r="C36" s="23" t="s">
        <v>60</v>
      </c>
      <c r="D36" s="23" t="s">
        <v>81</v>
      </c>
      <c r="E36" s="24" t="s">
        <v>85</v>
      </c>
      <c r="F36" s="25" t="n">
        <v>46315</v>
      </c>
      <c r="G36" s="25" t="n">
        <v>46316</v>
      </c>
      <c r="H36" s="23" t="n">
        <f aca="false">G36-F36+1</f>
        <v>2</v>
      </c>
      <c r="I36" s="26" t="s">
        <v>51</v>
      </c>
      <c r="J36" s="26" t="s">
        <v>4</v>
      </c>
      <c r="K36" s="27" t="str">
        <f aca="false">IF(AND($F36&lt;=K$10+6,$G36&gt;=K$10),IF($I36="Hito",IF($J36="Completado","◆","◇")," "),"")</f>
        <v/>
      </c>
      <c r="L36" s="27" t="str">
        <f aca="false">IF(AND($F36&lt;=L$10+6,$G36&gt;=L$10),IF($I36="Hito",IF($J36="Completado","◆","◇")," "),"")</f>
        <v/>
      </c>
      <c r="M36" s="27" t="str">
        <f aca="false">IF(AND($F36&lt;=M$10+6,$G36&gt;=M$10),IF($I36="Hito",IF($J36="Completado","◆","◇")," "),"")</f>
        <v/>
      </c>
      <c r="N36" s="27" t="str">
        <f aca="false">IF(AND($F36&lt;=N$10+6,$G36&gt;=N$10),IF($I36="Hito",IF($J36="Completado","◆","◇")," "),"")</f>
        <v/>
      </c>
      <c r="O36" s="27" t="str">
        <f aca="false">IF(AND($F36&lt;=O$10+6,$G36&gt;=O$10),IF($I36="Hito",IF($J36="Completado","◆","◇")," "),"")</f>
        <v/>
      </c>
      <c r="P36" s="27" t="str">
        <f aca="false">IF(AND($F36&lt;=P$10+6,$G36&gt;=P$10),IF($I36="Hito",IF($J36="Completado","◆","◇")," "),"")</f>
        <v/>
      </c>
      <c r="Q36" s="27" t="str">
        <f aca="false">IF(AND($F36&lt;=Q$10+6,$G36&gt;=Q$10),IF($I36="Hito",IF($J36="Completado","◆","◇")," "),"")</f>
        <v/>
      </c>
      <c r="R36" s="27" t="str">
        <f aca="false">IF(AND($F36&lt;=R$10+6,$G36&gt;=R$10),IF($I36="Hito",IF($J36="Completado","◆","◇")," "),"")</f>
        <v/>
      </c>
      <c r="S36" s="27" t="str">
        <f aca="false">IF(AND($F36&lt;=S$10+6,$G36&gt;=S$10),IF($I36="Hito",IF($J36="Completado","◆","◇")," "),"")</f>
        <v/>
      </c>
      <c r="T36" s="27" t="str">
        <f aca="false">IF(AND($F36&lt;=T$10+6,$G36&gt;=T$10),IF($I36="Hito",IF($J36="Completado","◆","◇")," "),"")</f>
        <v/>
      </c>
      <c r="U36" s="27" t="str">
        <f aca="false">IF(AND($F36&lt;=U$10+6,$G36&gt;=U$10),IF($I36="Hito",IF($J36="Completado","◆","◇")," "),"")</f>
        <v> </v>
      </c>
      <c r="V36" s="27" t="str">
        <f aca="false">IF(AND($F36&lt;=V$10+6,$G36&gt;=V$10),IF($I36="Hito",IF($J36="Completado","◆","◇")," "),"")</f>
        <v/>
      </c>
      <c r="W36" s="27" t="str">
        <f aca="false">IF(AND($F36&lt;=W$10+6,$G36&gt;=W$10),IF($I36="Hito",IF($J36="Completado","◆","◇")," "),"")</f>
        <v/>
      </c>
      <c r="X36" s="27" t="str">
        <f aca="false">IF(AND($F36&lt;=X$10+6,$G36&gt;=X$10),IF($I36="Hito",IF($J36="Completado","◆","◇")," "),"")</f>
        <v/>
      </c>
      <c r="Y36" s="27" t="str">
        <f aca="false">IF(AND($F36&lt;=Y$10+6,$G36&gt;=Y$10),IF($I36="Hito",IF($J36="Completado","◆","◇")," "),"")</f>
        <v/>
      </c>
      <c r="Z36" s="27" t="str">
        <f aca="false">IF(AND($F36&lt;=Z$10+6,$G36&gt;=Z$10),IF($I36="Hito",IF($J36="Completado","◆","◇")," "),"")</f>
        <v/>
      </c>
      <c r="AA36" s="27" t="str">
        <f aca="false">IF(AND($F36&lt;=AA$10+6,$G36&gt;=AA$10),IF($I36="Hito",IF($J36="Completado","◆","◇")," "),"")</f>
        <v/>
      </c>
      <c r="AB36" s="27" t="str">
        <f aca="false">IF(AND($F36&lt;=AB$10+6,$G36&gt;=AB$10),IF($I36="Hito",IF($J36="Completado","◆","◇")," "),"")</f>
        <v/>
      </c>
    </row>
    <row r="37" customFormat="false" ht="18" hidden="false" customHeight="true" outlineLevel="0" collapsed="false">
      <c r="A37" s="23" t="n">
        <v>23</v>
      </c>
      <c r="B37" s="24" t="s">
        <v>86</v>
      </c>
      <c r="C37" s="23" t="s">
        <v>60</v>
      </c>
      <c r="D37" s="23" t="s">
        <v>81</v>
      </c>
      <c r="E37" s="24" t="s">
        <v>67</v>
      </c>
      <c r="F37" s="25" t="n">
        <v>46316</v>
      </c>
      <c r="G37" s="25" t="n">
        <v>46316</v>
      </c>
      <c r="H37" s="23" t="n">
        <f aca="false">G37-F37+1</f>
        <v>1</v>
      </c>
      <c r="I37" s="26" t="s">
        <v>51</v>
      </c>
      <c r="J37" s="26" t="s">
        <v>4</v>
      </c>
      <c r="K37" s="27" t="str">
        <f aca="false">IF(AND($F37&lt;=K$10+6,$G37&gt;=K$10),IF($I37="Hito",IF($J37="Completado","◆","◇")," "),"")</f>
        <v/>
      </c>
      <c r="L37" s="27" t="str">
        <f aca="false">IF(AND($F37&lt;=L$10+6,$G37&gt;=L$10),IF($I37="Hito",IF($J37="Completado","◆","◇")," "),"")</f>
        <v/>
      </c>
      <c r="M37" s="27" t="str">
        <f aca="false">IF(AND($F37&lt;=M$10+6,$G37&gt;=M$10),IF($I37="Hito",IF($J37="Completado","◆","◇")," "),"")</f>
        <v/>
      </c>
      <c r="N37" s="27" t="str">
        <f aca="false">IF(AND($F37&lt;=N$10+6,$G37&gt;=N$10),IF($I37="Hito",IF($J37="Completado","◆","◇")," "),"")</f>
        <v/>
      </c>
      <c r="O37" s="27" t="str">
        <f aca="false">IF(AND($F37&lt;=O$10+6,$G37&gt;=O$10),IF($I37="Hito",IF($J37="Completado","◆","◇")," "),"")</f>
        <v/>
      </c>
      <c r="P37" s="27" t="str">
        <f aca="false">IF(AND($F37&lt;=P$10+6,$G37&gt;=P$10),IF($I37="Hito",IF($J37="Completado","◆","◇")," "),"")</f>
        <v/>
      </c>
      <c r="Q37" s="27" t="str">
        <f aca="false">IF(AND($F37&lt;=Q$10+6,$G37&gt;=Q$10),IF($I37="Hito",IF($J37="Completado","◆","◇")," "),"")</f>
        <v/>
      </c>
      <c r="R37" s="27" t="str">
        <f aca="false">IF(AND($F37&lt;=R$10+6,$G37&gt;=R$10),IF($I37="Hito",IF($J37="Completado","◆","◇")," "),"")</f>
        <v/>
      </c>
      <c r="S37" s="27" t="str">
        <f aca="false">IF(AND($F37&lt;=S$10+6,$G37&gt;=S$10),IF($I37="Hito",IF($J37="Completado","◆","◇")," "),"")</f>
        <v/>
      </c>
      <c r="T37" s="27" t="str">
        <f aca="false">IF(AND($F37&lt;=T$10+6,$G37&gt;=T$10),IF($I37="Hito",IF($J37="Completado","◆","◇")," "),"")</f>
        <v/>
      </c>
      <c r="U37" s="27" t="str">
        <f aca="false">IF(AND($F37&lt;=U$10+6,$G37&gt;=U$10),IF($I37="Hito",IF($J37="Completado","◆","◇")," "),"")</f>
        <v> </v>
      </c>
      <c r="V37" s="27" t="str">
        <f aca="false">IF(AND($F37&lt;=V$10+6,$G37&gt;=V$10),IF($I37="Hito",IF($J37="Completado","◆","◇")," "),"")</f>
        <v/>
      </c>
      <c r="W37" s="27" t="str">
        <f aca="false">IF(AND($F37&lt;=W$10+6,$G37&gt;=W$10),IF($I37="Hito",IF($J37="Completado","◆","◇")," "),"")</f>
        <v/>
      </c>
      <c r="X37" s="27" t="str">
        <f aca="false">IF(AND($F37&lt;=X$10+6,$G37&gt;=X$10),IF($I37="Hito",IF($J37="Completado","◆","◇")," "),"")</f>
        <v/>
      </c>
      <c r="Y37" s="27" t="str">
        <f aca="false">IF(AND($F37&lt;=Y$10+6,$G37&gt;=Y$10),IF($I37="Hito",IF($J37="Completado","◆","◇")," "),"")</f>
        <v/>
      </c>
      <c r="Z37" s="27" t="str">
        <f aca="false">IF(AND($F37&lt;=Z$10+6,$G37&gt;=Z$10),IF($I37="Hito",IF($J37="Completado","◆","◇")," "),"")</f>
        <v/>
      </c>
      <c r="AA37" s="27" t="str">
        <f aca="false">IF(AND($F37&lt;=AA$10+6,$G37&gt;=AA$10),IF($I37="Hito",IF($J37="Completado","◆","◇")," "),"")</f>
        <v/>
      </c>
      <c r="AB37" s="27" t="str">
        <f aca="false">IF(AND($F37&lt;=AB$10+6,$G37&gt;=AB$10),IF($I37="Hito",IF($J37="Completado","◆","◇")," "),"")</f>
        <v/>
      </c>
    </row>
    <row r="38" customFormat="false" ht="18" hidden="false" customHeight="true" outlineLevel="0" collapsed="false">
      <c r="A38" s="23" t="n">
        <v>24</v>
      </c>
      <c r="B38" s="24" t="s">
        <v>87</v>
      </c>
      <c r="C38" s="23" t="s">
        <v>60</v>
      </c>
      <c r="D38" s="23" t="s">
        <v>81</v>
      </c>
      <c r="E38" s="24" t="s">
        <v>48</v>
      </c>
      <c r="F38" s="25" t="n">
        <v>46316</v>
      </c>
      <c r="G38" s="25" t="n">
        <v>46316</v>
      </c>
      <c r="H38" s="23" t="n">
        <f aca="false">G38-F38+1</f>
        <v>1</v>
      </c>
      <c r="I38" s="26" t="s">
        <v>49</v>
      </c>
      <c r="J38" s="26" t="s">
        <v>4</v>
      </c>
      <c r="K38" s="27" t="str">
        <f aca="false">IF(AND($F38&lt;=K$10+6,$G38&gt;=K$10),IF($I38="Hito",IF($J38="Completado","◆","◇")," "),"")</f>
        <v/>
      </c>
      <c r="L38" s="27" t="str">
        <f aca="false">IF(AND($F38&lt;=L$10+6,$G38&gt;=L$10),IF($I38="Hito",IF($J38="Completado","◆","◇")," "),"")</f>
        <v/>
      </c>
      <c r="M38" s="27" t="str">
        <f aca="false">IF(AND($F38&lt;=M$10+6,$G38&gt;=M$10),IF($I38="Hito",IF($J38="Completado","◆","◇")," "),"")</f>
        <v/>
      </c>
      <c r="N38" s="27" t="str">
        <f aca="false">IF(AND($F38&lt;=N$10+6,$G38&gt;=N$10),IF($I38="Hito",IF($J38="Completado","◆","◇")," "),"")</f>
        <v/>
      </c>
      <c r="O38" s="27" t="str">
        <f aca="false">IF(AND($F38&lt;=O$10+6,$G38&gt;=O$10),IF($I38="Hito",IF($J38="Completado","◆","◇")," "),"")</f>
        <v/>
      </c>
      <c r="P38" s="27" t="str">
        <f aca="false">IF(AND($F38&lt;=P$10+6,$G38&gt;=P$10),IF($I38="Hito",IF($J38="Completado","◆","◇")," "),"")</f>
        <v/>
      </c>
      <c r="Q38" s="27" t="str">
        <f aca="false">IF(AND($F38&lt;=Q$10+6,$G38&gt;=Q$10),IF($I38="Hito",IF($J38="Completado","◆","◇")," "),"")</f>
        <v/>
      </c>
      <c r="R38" s="27" t="str">
        <f aca="false">IF(AND($F38&lt;=R$10+6,$G38&gt;=R$10),IF($I38="Hito",IF($J38="Completado","◆","◇")," "),"")</f>
        <v/>
      </c>
      <c r="S38" s="27" t="str">
        <f aca="false">IF(AND($F38&lt;=S$10+6,$G38&gt;=S$10),IF($I38="Hito",IF($J38="Completado","◆","◇")," "),"")</f>
        <v/>
      </c>
      <c r="T38" s="27" t="str">
        <f aca="false">IF(AND($F38&lt;=T$10+6,$G38&gt;=T$10),IF($I38="Hito",IF($J38="Completado","◆","◇")," "),"")</f>
        <v/>
      </c>
      <c r="U38" s="27" t="str">
        <f aca="false">IF(AND($F38&lt;=U$10+6,$G38&gt;=U$10),IF($I38="Hito",IF($J38="Completado","◆","◇")," "),"")</f>
        <v>◆</v>
      </c>
      <c r="V38" s="27" t="str">
        <f aca="false">IF(AND($F38&lt;=V$10+6,$G38&gt;=V$10),IF($I38="Hito",IF($J38="Completado","◆","◇")," "),"")</f>
        <v/>
      </c>
      <c r="W38" s="27" t="str">
        <f aca="false">IF(AND($F38&lt;=W$10+6,$G38&gt;=W$10),IF($I38="Hito",IF($J38="Completado","◆","◇")," "),"")</f>
        <v/>
      </c>
      <c r="X38" s="27" t="str">
        <f aca="false">IF(AND($F38&lt;=X$10+6,$G38&gt;=X$10),IF($I38="Hito",IF($J38="Completado","◆","◇")," "),"")</f>
        <v/>
      </c>
      <c r="Y38" s="27" t="str">
        <f aca="false">IF(AND($F38&lt;=Y$10+6,$G38&gt;=Y$10),IF($I38="Hito",IF($J38="Completado","◆","◇")," "),"")</f>
        <v/>
      </c>
      <c r="Z38" s="27" t="str">
        <f aca="false">IF(AND($F38&lt;=Z$10+6,$G38&gt;=Z$10),IF($I38="Hito",IF($J38="Completado","◆","◇")," "),"")</f>
        <v/>
      </c>
      <c r="AA38" s="27" t="str">
        <f aca="false">IF(AND($F38&lt;=AA$10+6,$G38&gt;=AA$10),IF($I38="Hito",IF($J38="Completado","◆","◇")," "),"")</f>
        <v/>
      </c>
      <c r="AB38" s="27" t="str">
        <f aca="false">IF(AND($F38&lt;=AB$10+6,$G38&gt;=AB$10),IF($I38="Hito",IF($J38="Completado","◆","◇")," "),"")</f>
        <v/>
      </c>
    </row>
    <row r="39" customFormat="false" ht="18" hidden="false" customHeight="true" outlineLevel="0" collapsed="false">
      <c r="A39" s="23" t="n">
        <v>25</v>
      </c>
      <c r="B39" s="24" t="s">
        <v>88</v>
      </c>
      <c r="C39" s="23" t="s">
        <v>60</v>
      </c>
      <c r="D39" s="23" t="s">
        <v>81</v>
      </c>
      <c r="E39" s="24" t="s">
        <v>48</v>
      </c>
      <c r="F39" s="25" t="n">
        <v>46321</v>
      </c>
      <c r="G39" s="25" t="n">
        <v>46321</v>
      </c>
      <c r="H39" s="23" t="n">
        <f aca="false">G39-F39+1</f>
        <v>1</v>
      </c>
      <c r="I39" s="26" t="s">
        <v>49</v>
      </c>
      <c r="J39" s="26" t="s">
        <v>4</v>
      </c>
      <c r="K39" s="27" t="str">
        <f aca="false">IF(AND($F39&lt;=K$10+6,$G39&gt;=K$10),IF($I39="Hito",IF($J39="Completado","◆","◇")," "),"")</f>
        <v/>
      </c>
      <c r="L39" s="27" t="str">
        <f aca="false">IF(AND($F39&lt;=L$10+6,$G39&gt;=L$10),IF($I39="Hito",IF($J39="Completado","◆","◇")," "),"")</f>
        <v/>
      </c>
      <c r="M39" s="27" t="str">
        <f aca="false">IF(AND($F39&lt;=M$10+6,$G39&gt;=M$10),IF($I39="Hito",IF($J39="Completado","◆","◇")," "),"")</f>
        <v/>
      </c>
      <c r="N39" s="27" t="str">
        <f aca="false">IF(AND($F39&lt;=N$10+6,$G39&gt;=N$10),IF($I39="Hito",IF($J39="Completado","◆","◇")," "),"")</f>
        <v/>
      </c>
      <c r="O39" s="27" t="str">
        <f aca="false">IF(AND($F39&lt;=O$10+6,$G39&gt;=O$10),IF($I39="Hito",IF($J39="Completado","◆","◇")," "),"")</f>
        <v/>
      </c>
      <c r="P39" s="27" t="str">
        <f aca="false">IF(AND($F39&lt;=P$10+6,$G39&gt;=P$10),IF($I39="Hito",IF($J39="Completado","◆","◇")," "),"")</f>
        <v/>
      </c>
      <c r="Q39" s="27" t="str">
        <f aca="false">IF(AND($F39&lt;=Q$10+6,$G39&gt;=Q$10),IF($I39="Hito",IF($J39="Completado","◆","◇")," "),"")</f>
        <v/>
      </c>
      <c r="R39" s="27" t="str">
        <f aca="false">IF(AND($F39&lt;=R$10+6,$G39&gt;=R$10),IF($I39="Hito",IF($J39="Completado","◆","◇")," "),"")</f>
        <v/>
      </c>
      <c r="S39" s="27" t="str">
        <f aca="false">IF(AND($F39&lt;=S$10+6,$G39&gt;=S$10),IF($I39="Hito",IF($J39="Completado","◆","◇")," "),"")</f>
        <v/>
      </c>
      <c r="T39" s="27" t="str">
        <f aca="false">IF(AND($F39&lt;=T$10+6,$G39&gt;=T$10),IF($I39="Hito",IF($J39="Completado","◆","◇")," "),"")</f>
        <v/>
      </c>
      <c r="U39" s="27" t="str">
        <f aca="false">IF(AND($F39&lt;=U$10+6,$G39&gt;=U$10),IF($I39="Hito",IF($J39="Completado","◆","◇")," "),"")</f>
        <v/>
      </c>
      <c r="V39" s="27" t="str">
        <f aca="false">IF(AND($F39&lt;=V$10+6,$G39&gt;=V$10),IF($I39="Hito",IF($J39="Completado","◆","◇")," "),"")</f>
        <v>◆</v>
      </c>
      <c r="W39" s="27" t="str">
        <f aca="false">IF(AND($F39&lt;=W$10+6,$G39&gt;=W$10),IF($I39="Hito",IF($J39="Completado","◆","◇")," "),"")</f>
        <v/>
      </c>
      <c r="X39" s="27" t="str">
        <f aca="false">IF(AND($F39&lt;=X$10+6,$G39&gt;=X$10),IF($I39="Hito",IF($J39="Completado","◆","◇")," "),"")</f>
        <v/>
      </c>
      <c r="Y39" s="27" t="str">
        <f aca="false">IF(AND($F39&lt;=Y$10+6,$G39&gt;=Y$10),IF($I39="Hito",IF($J39="Completado","◆","◇")," "),"")</f>
        <v/>
      </c>
      <c r="Z39" s="27" t="str">
        <f aca="false">IF(AND($F39&lt;=Z$10+6,$G39&gt;=Z$10),IF($I39="Hito",IF($J39="Completado","◆","◇")," "),"")</f>
        <v/>
      </c>
      <c r="AA39" s="27" t="str">
        <f aca="false">IF(AND($F39&lt;=AA$10+6,$G39&gt;=AA$10),IF($I39="Hito",IF($J39="Completado","◆","◇")," "),"")</f>
        <v/>
      </c>
      <c r="AB39" s="27" t="str">
        <f aca="false">IF(AND($F39&lt;=AB$10+6,$G39&gt;=AB$10),IF($I39="Hito",IF($J39="Completado","◆","◇")," "),"")</f>
        <v/>
      </c>
    </row>
    <row r="40" customFormat="false" ht="30" hidden="false" customHeight="true" outlineLevel="0" collapsed="false">
      <c r="A40" s="23" t="n">
        <v>26</v>
      </c>
      <c r="B40" s="24" t="s">
        <v>89</v>
      </c>
      <c r="C40" s="23" t="s">
        <v>60</v>
      </c>
      <c r="D40" s="23" t="s">
        <v>81</v>
      </c>
      <c r="E40" s="24" t="s">
        <v>48</v>
      </c>
      <c r="F40" s="25" t="n">
        <v>46321</v>
      </c>
      <c r="G40" s="25" t="n">
        <v>46321</v>
      </c>
      <c r="H40" s="23" t="n">
        <f aca="false">G40-F40+1</f>
        <v>1</v>
      </c>
      <c r="I40" s="26" t="s">
        <v>51</v>
      </c>
      <c r="J40" s="26" t="s">
        <v>4</v>
      </c>
      <c r="K40" s="27" t="str">
        <f aca="false">IF(AND($F40&lt;=K$10+6,$G40&gt;=K$10),IF($I40="Hito",IF($J40="Completado","◆","◇")," "),"")</f>
        <v/>
      </c>
      <c r="L40" s="27" t="str">
        <f aca="false">IF(AND($F40&lt;=L$10+6,$G40&gt;=L$10),IF($I40="Hito",IF($J40="Completado","◆","◇")," "),"")</f>
        <v/>
      </c>
      <c r="M40" s="27" t="str">
        <f aca="false">IF(AND($F40&lt;=M$10+6,$G40&gt;=M$10),IF($I40="Hito",IF($J40="Completado","◆","◇")," "),"")</f>
        <v/>
      </c>
      <c r="N40" s="27" t="str">
        <f aca="false">IF(AND($F40&lt;=N$10+6,$G40&gt;=N$10),IF($I40="Hito",IF($J40="Completado","◆","◇")," "),"")</f>
        <v/>
      </c>
      <c r="O40" s="27" t="str">
        <f aca="false">IF(AND($F40&lt;=O$10+6,$G40&gt;=O$10),IF($I40="Hito",IF($J40="Completado","◆","◇")," "),"")</f>
        <v/>
      </c>
      <c r="P40" s="27" t="str">
        <f aca="false">IF(AND($F40&lt;=P$10+6,$G40&gt;=P$10),IF($I40="Hito",IF($J40="Completado","◆","◇")," "),"")</f>
        <v/>
      </c>
      <c r="Q40" s="27" t="str">
        <f aca="false">IF(AND($F40&lt;=Q$10+6,$G40&gt;=Q$10),IF($I40="Hito",IF($J40="Completado","◆","◇")," "),"")</f>
        <v/>
      </c>
      <c r="R40" s="27" t="str">
        <f aca="false">IF(AND($F40&lt;=R$10+6,$G40&gt;=R$10),IF($I40="Hito",IF($J40="Completado","◆","◇")," "),"")</f>
        <v/>
      </c>
      <c r="S40" s="27" t="str">
        <f aca="false">IF(AND($F40&lt;=S$10+6,$G40&gt;=S$10),IF($I40="Hito",IF($J40="Completado","◆","◇")," "),"")</f>
        <v/>
      </c>
      <c r="T40" s="27" t="str">
        <f aca="false">IF(AND($F40&lt;=T$10+6,$G40&gt;=T$10),IF($I40="Hito",IF($J40="Completado","◆","◇")," "),"")</f>
        <v/>
      </c>
      <c r="U40" s="27" t="str">
        <f aca="false">IF(AND($F40&lt;=U$10+6,$G40&gt;=U$10),IF($I40="Hito",IF($J40="Completado","◆","◇")," "),"")</f>
        <v/>
      </c>
      <c r="V40" s="27" t="str">
        <f aca="false">IF(AND($F40&lt;=V$10+6,$G40&gt;=V$10),IF($I40="Hito",IF($J40="Completado","◆","◇")," "),"")</f>
        <v> </v>
      </c>
      <c r="W40" s="27" t="str">
        <f aca="false">IF(AND($F40&lt;=W$10+6,$G40&gt;=W$10),IF($I40="Hito",IF($J40="Completado","◆","◇")," "),"")</f>
        <v/>
      </c>
      <c r="X40" s="27" t="str">
        <f aca="false">IF(AND($F40&lt;=X$10+6,$G40&gt;=X$10),IF($I40="Hito",IF($J40="Completado","◆","◇")," "),"")</f>
        <v/>
      </c>
      <c r="Y40" s="27" t="str">
        <f aca="false">IF(AND($F40&lt;=Y$10+6,$G40&gt;=Y$10),IF($I40="Hito",IF($J40="Completado","◆","◇")," "),"")</f>
        <v/>
      </c>
      <c r="Z40" s="27" t="str">
        <f aca="false">IF(AND($F40&lt;=Z$10+6,$G40&gt;=Z$10),IF($I40="Hito",IF($J40="Completado","◆","◇")," "),"")</f>
        <v/>
      </c>
      <c r="AA40" s="27" t="str">
        <f aca="false">IF(AND($F40&lt;=AA$10+6,$G40&gt;=AA$10),IF($I40="Hito",IF($J40="Completado","◆","◇")," "),"")</f>
        <v/>
      </c>
      <c r="AB40" s="27" t="str">
        <f aca="false">IF(AND($F40&lt;=AB$10+6,$G40&gt;=AB$10),IF($I40="Hito",IF($J40="Completado","◆","◇")," "),"")</f>
        <v/>
      </c>
    </row>
    <row r="41" customFormat="false" ht="18" hidden="false" customHeight="true" outlineLevel="0" collapsed="false">
      <c r="A41" s="23" t="n">
        <v>27</v>
      </c>
      <c r="B41" s="24" t="s">
        <v>90</v>
      </c>
      <c r="C41" s="23" t="s">
        <v>60</v>
      </c>
      <c r="D41" s="23" t="s">
        <v>81</v>
      </c>
      <c r="E41" s="24" t="s">
        <v>48</v>
      </c>
      <c r="F41" s="25" t="n">
        <v>46321</v>
      </c>
      <c r="G41" s="25" t="n">
        <v>46325</v>
      </c>
      <c r="H41" s="23" t="n">
        <f aca="false">G41-F41+1</f>
        <v>5</v>
      </c>
      <c r="I41" s="26" t="s">
        <v>51</v>
      </c>
      <c r="J41" s="26" t="s">
        <v>7</v>
      </c>
      <c r="K41" s="27" t="str">
        <f aca="false">IF(AND($F41&lt;=K$10+6,$G41&gt;=K$10),IF($I41="Hito",IF($J41="Completado","◆","◇")," "),"")</f>
        <v/>
      </c>
      <c r="L41" s="27" t="str">
        <f aca="false">IF(AND($F41&lt;=L$10+6,$G41&gt;=L$10),IF($I41="Hito",IF($J41="Completado","◆","◇")," "),"")</f>
        <v/>
      </c>
      <c r="M41" s="27" t="str">
        <f aca="false">IF(AND($F41&lt;=M$10+6,$G41&gt;=M$10),IF($I41="Hito",IF($J41="Completado","◆","◇")," "),"")</f>
        <v/>
      </c>
      <c r="N41" s="27" t="str">
        <f aca="false">IF(AND($F41&lt;=N$10+6,$G41&gt;=N$10),IF($I41="Hito",IF($J41="Completado","◆","◇")," "),"")</f>
        <v/>
      </c>
      <c r="O41" s="27" t="str">
        <f aca="false">IF(AND($F41&lt;=O$10+6,$G41&gt;=O$10),IF($I41="Hito",IF($J41="Completado","◆","◇")," "),"")</f>
        <v/>
      </c>
      <c r="P41" s="27" t="str">
        <f aca="false">IF(AND($F41&lt;=P$10+6,$G41&gt;=P$10),IF($I41="Hito",IF($J41="Completado","◆","◇")," "),"")</f>
        <v/>
      </c>
      <c r="Q41" s="27" t="str">
        <f aca="false">IF(AND($F41&lt;=Q$10+6,$G41&gt;=Q$10),IF($I41="Hito",IF($J41="Completado","◆","◇")," "),"")</f>
        <v/>
      </c>
      <c r="R41" s="27" t="str">
        <f aca="false">IF(AND($F41&lt;=R$10+6,$G41&gt;=R$10),IF($I41="Hito",IF($J41="Completado","◆","◇")," "),"")</f>
        <v/>
      </c>
      <c r="S41" s="27" t="str">
        <f aca="false">IF(AND($F41&lt;=S$10+6,$G41&gt;=S$10),IF($I41="Hito",IF($J41="Completado","◆","◇")," "),"")</f>
        <v/>
      </c>
      <c r="T41" s="27" t="str">
        <f aca="false">IF(AND($F41&lt;=T$10+6,$G41&gt;=T$10),IF($I41="Hito",IF($J41="Completado","◆","◇")," "),"")</f>
        <v/>
      </c>
      <c r="U41" s="27" t="str">
        <f aca="false">IF(AND($F41&lt;=U$10+6,$G41&gt;=U$10),IF($I41="Hito",IF($J41="Completado","◆","◇")," "),"")</f>
        <v/>
      </c>
      <c r="V41" s="27" t="str">
        <f aca="false">IF(AND($F41&lt;=V$10+6,$G41&gt;=V$10),IF($I41="Hito",IF($J41="Completado","◆","◇")," "),"")</f>
        <v> </v>
      </c>
      <c r="W41" s="27" t="str">
        <f aca="false">IF(AND($F41&lt;=W$10+6,$G41&gt;=W$10),IF($I41="Hito",IF($J41="Completado","◆","◇")," "),"")</f>
        <v/>
      </c>
      <c r="X41" s="27" t="str">
        <f aca="false">IF(AND($F41&lt;=X$10+6,$G41&gt;=X$10),IF($I41="Hito",IF($J41="Completado","◆","◇")," "),"")</f>
        <v/>
      </c>
      <c r="Y41" s="27" t="str">
        <f aca="false">IF(AND($F41&lt;=Y$10+6,$G41&gt;=Y$10),IF($I41="Hito",IF($J41="Completado","◆","◇")," "),"")</f>
        <v/>
      </c>
      <c r="Z41" s="27" t="str">
        <f aca="false">IF(AND($F41&lt;=Z$10+6,$G41&gt;=Z$10),IF($I41="Hito",IF($J41="Completado","◆","◇")," "),"")</f>
        <v/>
      </c>
      <c r="AA41" s="27" t="str">
        <f aca="false">IF(AND($F41&lt;=AA$10+6,$G41&gt;=AA$10),IF($I41="Hito",IF($J41="Completado","◆","◇")," "),"")</f>
        <v/>
      </c>
      <c r="AB41" s="27" t="str">
        <f aca="false">IF(AND($F41&lt;=AB$10+6,$G41&gt;=AB$10),IF($I41="Hito",IF($J41="Completado","◆","◇")," "),"")</f>
        <v/>
      </c>
    </row>
    <row r="42" customFormat="false" ht="30" hidden="false" customHeight="true" outlineLevel="0" collapsed="false">
      <c r="A42" s="23" t="n">
        <v>28</v>
      </c>
      <c r="B42" s="24" t="s">
        <v>91</v>
      </c>
      <c r="C42" s="23" t="s">
        <v>60</v>
      </c>
      <c r="D42" s="23" t="s">
        <v>81</v>
      </c>
      <c r="E42" s="24" t="s">
        <v>67</v>
      </c>
      <c r="F42" s="25" t="n">
        <v>46321</v>
      </c>
      <c r="G42" s="25" t="n">
        <v>46323</v>
      </c>
      <c r="H42" s="23" t="n">
        <f aca="false">G42-F42+1</f>
        <v>3</v>
      </c>
      <c r="I42" s="26" t="s">
        <v>51</v>
      </c>
      <c r="J42" s="26" t="s">
        <v>7</v>
      </c>
      <c r="K42" s="27" t="str">
        <f aca="false">IF(AND($F42&lt;=K$10+6,$G42&gt;=K$10),IF($I42="Hito",IF($J42="Completado","◆","◇")," "),"")</f>
        <v/>
      </c>
      <c r="L42" s="27" t="str">
        <f aca="false">IF(AND($F42&lt;=L$10+6,$G42&gt;=L$10),IF($I42="Hito",IF($J42="Completado","◆","◇")," "),"")</f>
        <v/>
      </c>
      <c r="M42" s="27" t="str">
        <f aca="false">IF(AND($F42&lt;=M$10+6,$G42&gt;=M$10),IF($I42="Hito",IF($J42="Completado","◆","◇")," "),"")</f>
        <v/>
      </c>
      <c r="N42" s="27" t="str">
        <f aca="false">IF(AND($F42&lt;=N$10+6,$G42&gt;=N$10),IF($I42="Hito",IF($J42="Completado","◆","◇")," "),"")</f>
        <v/>
      </c>
      <c r="O42" s="27" t="str">
        <f aca="false">IF(AND($F42&lt;=O$10+6,$G42&gt;=O$10),IF($I42="Hito",IF($J42="Completado","◆","◇")," "),"")</f>
        <v/>
      </c>
      <c r="P42" s="27" t="str">
        <f aca="false">IF(AND($F42&lt;=P$10+6,$G42&gt;=P$10),IF($I42="Hito",IF($J42="Completado","◆","◇")," "),"")</f>
        <v/>
      </c>
      <c r="Q42" s="27" t="str">
        <f aca="false">IF(AND($F42&lt;=Q$10+6,$G42&gt;=Q$10),IF($I42="Hito",IF($J42="Completado","◆","◇")," "),"")</f>
        <v/>
      </c>
      <c r="R42" s="27" t="str">
        <f aca="false">IF(AND($F42&lt;=R$10+6,$G42&gt;=R$10),IF($I42="Hito",IF($J42="Completado","◆","◇")," "),"")</f>
        <v/>
      </c>
      <c r="S42" s="27" t="str">
        <f aca="false">IF(AND($F42&lt;=S$10+6,$G42&gt;=S$10),IF($I42="Hito",IF($J42="Completado","◆","◇")," "),"")</f>
        <v/>
      </c>
      <c r="T42" s="27" t="str">
        <f aca="false">IF(AND($F42&lt;=T$10+6,$G42&gt;=T$10),IF($I42="Hito",IF($J42="Completado","◆","◇")," "),"")</f>
        <v/>
      </c>
      <c r="U42" s="27" t="str">
        <f aca="false">IF(AND($F42&lt;=U$10+6,$G42&gt;=U$10),IF($I42="Hito",IF($J42="Completado","◆","◇")," "),"")</f>
        <v/>
      </c>
      <c r="V42" s="27" t="str">
        <f aca="false">IF(AND($F42&lt;=V$10+6,$G42&gt;=V$10),IF($I42="Hito",IF($J42="Completado","◆","◇")," "),"")</f>
        <v> </v>
      </c>
      <c r="W42" s="27" t="str">
        <f aca="false">IF(AND($F42&lt;=W$10+6,$G42&gt;=W$10),IF($I42="Hito",IF($J42="Completado","◆","◇")," "),"")</f>
        <v/>
      </c>
      <c r="X42" s="27" t="str">
        <f aca="false">IF(AND($F42&lt;=X$10+6,$G42&gt;=X$10),IF($I42="Hito",IF($J42="Completado","◆","◇")," "),"")</f>
        <v/>
      </c>
      <c r="Y42" s="27" t="str">
        <f aca="false">IF(AND($F42&lt;=Y$10+6,$G42&gt;=Y$10),IF($I42="Hito",IF($J42="Completado","◆","◇")," "),"")</f>
        <v/>
      </c>
      <c r="Z42" s="27" t="str">
        <f aca="false">IF(AND($F42&lt;=Z$10+6,$G42&gt;=Z$10),IF($I42="Hito",IF($J42="Completado","◆","◇")," "),"")</f>
        <v/>
      </c>
      <c r="AA42" s="27" t="str">
        <f aca="false">IF(AND($F42&lt;=AA$10+6,$G42&gt;=AA$10),IF($I42="Hito",IF($J42="Completado","◆","◇")," "),"")</f>
        <v/>
      </c>
      <c r="AB42" s="27" t="str">
        <f aca="false">IF(AND($F42&lt;=AB$10+6,$G42&gt;=AB$10),IF($I42="Hito",IF($J42="Completado","◆","◇")," "),"")</f>
        <v/>
      </c>
    </row>
    <row r="43" customFormat="false" ht="18" hidden="false" customHeight="true" outlineLevel="0" collapsed="false">
      <c r="A43" s="23" t="n">
        <v>29</v>
      </c>
      <c r="B43" s="24" t="s">
        <v>92</v>
      </c>
      <c r="C43" s="23" t="s">
        <v>60</v>
      </c>
      <c r="D43" s="23" t="s">
        <v>81</v>
      </c>
      <c r="E43" s="24" t="s">
        <v>70</v>
      </c>
      <c r="F43" s="25" t="n">
        <v>46321</v>
      </c>
      <c r="G43" s="25" t="n">
        <v>46323</v>
      </c>
      <c r="H43" s="23" t="n">
        <f aca="false">G43-F43+1</f>
        <v>3</v>
      </c>
      <c r="I43" s="26" t="s">
        <v>51</v>
      </c>
      <c r="J43" s="26" t="s">
        <v>7</v>
      </c>
      <c r="K43" s="27" t="str">
        <f aca="false">IF(AND($F43&lt;=K$10+6,$G43&gt;=K$10),IF($I43="Hito",IF($J43="Completado","◆","◇")," "),"")</f>
        <v/>
      </c>
      <c r="L43" s="27" t="str">
        <f aca="false">IF(AND($F43&lt;=L$10+6,$G43&gt;=L$10),IF($I43="Hito",IF($J43="Completado","◆","◇")," "),"")</f>
        <v/>
      </c>
      <c r="M43" s="27" t="str">
        <f aca="false">IF(AND($F43&lt;=M$10+6,$G43&gt;=M$10),IF($I43="Hito",IF($J43="Completado","◆","◇")," "),"")</f>
        <v/>
      </c>
      <c r="N43" s="27" t="str">
        <f aca="false">IF(AND($F43&lt;=N$10+6,$G43&gt;=N$10),IF($I43="Hito",IF($J43="Completado","◆","◇")," "),"")</f>
        <v/>
      </c>
      <c r="O43" s="27" t="str">
        <f aca="false">IF(AND($F43&lt;=O$10+6,$G43&gt;=O$10),IF($I43="Hito",IF($J43="Completado","◆","◇")," "),"")</f>
        <v/>
      </c>
      <c r="P43" s="27" t="str">
        <f aca="false">IF(AND($F43&lt;=P$10+6,$G43&gt;=P$10),IF($I43="Hito",IF($J43="Completado","◆","◇")," "),"")</f>
        <v/>
      </c>
      <c r="Q43" s="27" t="str">
        <f aca="false">IF(AND($F43&lt;=Q$10+6,$G43&gt;=Q$10),IF($I43="Hito",IF($J43="Completado","◆","◇")," "),"")</f>
        <v/>
      </c>
      <c r="R43" s="27" t="str">
        <f aca="false">IF(AND($F43&lt;=R$10+6,$G43&gt;=R$10),IF($I43="Hito",IF($J43="Completado","◆","◇")," "),"")</f>
        <v/>
      </c>
      <c r="S43" s="27" t="str">
        <f aca="false">IF(AND($F43&lt;=S$10+6,$G43&gt;=S$10),IF($I43="Hito",IF($J43="Completado","◆","◇")," "),"")</f>
        <v/>
      </c>
      <c r="T43" s="27" t="str">
        <f aca="false">IF(AND($F43&lt;=T$10+6,$G43&gt;=T$10),IF($I43="Hito",IF($J43="Completado","◆","◇")," "),"")</f>
        <v/>
      </c>
      <c r="U43" s="27" t="str">
        <f aca="false">IF(AND($F43&lt;=U$10+6,$G43&gt;=U$10),IF($I43="Hito",IF($J43="Completado","◆","◇")," "),"")</f>
        <v/>
      </c>
      <c r="V43" s="27" t="str">
        <f aca="false">IF(AND($F43&lt;=V$10+6,$G43&gt;=V$10),IF($I43="Hito",IF($J43="Completado","◆","◇")," "),"")</f>
        <v> </v>
      </c>
      <c r="W43" s="27" t="str">
        <f aca="false">IF(AND($F43&lt;=W$10+6,$G43&gt;=W$10),IF($I43="Hito",IF($J43="Completado","◆","◇")," "),"")</f>
        <v/>
      </c>
      <c r="X43" s="27" t="str">
        <f aca="false">IF(AND($F43&lt;=X$10+6,$G43&gt;=X$10),IF($I43="Hito",IF($J43="Completado","◆","◇")," "),"")</f>
        <v/>
      </c>
      <c r="Y43" s="27" t="str">
        <f aca="false">IF(AND($F43&lt;=Y$10+6,$G43&gt;=Y$10),IF($I43="Hito",IF($J43="Completado","◆","◇")," "),"")</f>
        <v/>
      </c>
      <c r="Z43" s="27" t="str">
        <f aca="false">IF(AND($F43&lt;=Z$10+6,$G43&gt;=Z$10),IF($I43="Hito",IF($J43="Completado","◆","◇")," "),"")</f>
        <v/>
      </c>
      <c r="AA43" s="27" t="str">
        <f aca="false">IF(AND($F43&lt;=AA$10+6,$G43&gt;=AA$10),IF($I43="Hito",IF($J43="Completado","◆","◇")," "),"")</f>
        <v/>
      </c>
      <c r="AB43" s="27" t="str">
        <f aca="false">IF(AND($F43&lt;=AB$10+6,$G43&gt;=AB$10),IF($I43="Hito",IF($J43="Completado","◆","◇")," "),"")</f>
        <v/>
      </c>
    </row>
    <row r="44" customFormat="false" ht="18" hidden="false" customHeight="true" outlineLevel="0" collapsed="false">
      <c r="A44" s="23" t="n">
        <v>30</v>
      </c>
      <c r="B44" s="24" t="s">
        <v>93</v>
      </c>
      <c r="C44" s="23" t="s">
        <v>60</v>
      </c>
      <c r="D44" s="23" t="s">
        <v>81</v>
      </c>
      <c r="E44" s="24" t="s">
        <v>67</v>
      </c>
      <c r="F44" s="25" t="n">
        <v>46321</v>
      </c>
      <c r="G44" s="25" t="n">
        <v>46324</v>
      </c>
      <c r="H44" s="23" t="n">
        <f aca="false">G44-F44+1</f>
        <v>4</v>
      </c>
      <c r="I44" s="26" t="s">
        <v>51</v>
      </c>
      <c r="J44" s="26" t="s">
        <v>7</v>
      </c>
      <c r="K44" s="27" t="str">
        <f aca="false">IF(AND($F44&lt;=K$10+6,$G44&gt;=K$10),IF($I44="Hito",IF($J44="Completado","◆","◇")," "),"")</f>
        <v/>
      </c>
      <c r="L44" s="27" t="str">
        <f aca="false">IF(AND($F44&lt;=L$10+6,$G44&gt;=L$10),IF($I44="Hito",IF($J44="Completado","◆","◇")," "),"")</f>
        <v/>
      </c>
      <c r="M44" s="27" t="str">
        <f aca="false">IF(AND($F44&lt;=M$10+6,$G44&gt;=M$10),IF($I44="Hito",IF($J44="Completado","◆","◇")," "),"")</f>
        <v/>
      </c>
      <c r="N44" s="27" t="str">
        <f aca="false">IF(AND($F44&lt;=N$10+6,$G44&gt;=N$10),IF($I44="Hito",IF($J44="Completado","◆","◇")," "),"")</f>
        <v/>
      </c>
      <c r="O44" s="27" t="str">
        <f aca="false">IF(AND($F44&lt;=O$10+6,$G44&gt;=O$10),IF($I44="Hito",IF($J44="Completado","◆","◇")," "),"")</f>
        <v/>
      </c>
      <c r="P44" s="27" t="str">
        <f aca="false">IF(AND($F44&lt;=P$10+6,$G44&gt;=P$10),IF($I44="Hito",IF($J44="Completado","◆","◇")," "),"")</f>
        <v/>
      </c>
      <c r="Q44" s="27" t="str">
        <f aca="false">IF(AND($F44&lt;=Q$10+6,$G44&gt;=Q$10),IF($I44="Hito",IF($J44="Completado","◆","◇")," "),"")</f>
        <v/>
      </c>
      <c r="R44" s="27" t="str">
        <f aca="false">IF(AND($F44&lt;=R$10+6,$G44&gt;=R$10),IF($I44="Hito",IF($J44="Completado","◆","◇")," "),"")</f>
        <v/>
      </c>
      <c r="S44" s="27" t="str">
        <f aca="false">IF(AND($F44&lt;=S$10+6,$G44&gt;=S$10),IF($I44="Hito",IF($J44="Completado","◆","◇")," "),"")</f>
        <v/>
      </c>
      <c r="T44" s="27" t="str">
        <f aca="false">IF(AND($F44&lt;=T$10+6,$G44&gt;=T$10),IF($I44="Hito",IF($J44="Completado","◆","◇")," "),"")</f>
        <v/>
      </c>
      <c r="U44" s="27" t="str">
        <f aca="false">IF(AND($F44&lt;=U$10+6,$G44&gt;=U$10),IF($I44="Hito",IF($J44="Completado","◆","◇")," "),"")</f>
        <v/>
      </c>
      <c r="V44" s="27" t="str">
        <f aca="false">IF(AND($F44&lt;=V$10+6,$G44&gt;=V$10),IF($I44="Hito",IF($J44="Completado","◆","◇")," "),"")</f>
        <v> </v>
      </c>
      <c r="W44" s="27" t="str">
        <f aca="false">IF(AND($F44&lt;=W$10+6,$G44&gt;=W$10),IF($I44="Hito",IF($J44="Completado","◆","◇")," "),"")</f>
        <v/>
      </c>
      <c r="X44" s="27" t="str">
        <f aca="false">IF(AND($F44&lt;=X$10+6,$G44&gt;=X$10),IF($I44="Hito",IF($J44="Completado","◆","◇")," "),"")</f>
        <v/>
      </c>
      <c r="Y44" s="27" t="str">
        <f aca="false">IF(AND($F44&lt;=Y$10+6,$G44&gt;=Y$10),IF($I44="Hito",IF($J44="Completado","◆","◇")," "),"")</f>
        <v/>
      </c>
      <c r="Z44" s="27" t="str">
        <f aca="false">IF(AND($F44&lt;=Z$10+6,$G44&gt;=Z$10),IF($I44="Hito",IF($J44="Completado","◆","◇")," "),"")</f>
        <v/>
      </c>
      <c r="AA44" s="27" t="str">
        <f aca="false">IF(AND($F44&lt;=AA$10+6,$G44&gt;=AA$10),IF($I44="Hito",IF($J44="Completado","◆","◇")," "),"")</f>
        <v/>
      </c>
      <c r="AB44" s="27" t="str">
        <f aca="false">IF(AND($F44&lt;=AB$10+6,$G44&gt;=AB$10),IF($I44="Hito",IF($J44="Completado","◆","◇")," "),"")</f>
        <v/>
      </c>
    </row>
    <row r="45" customFormat="false" ht="18" hidden="false" customHeight="true" outlineLevel="0" collapsed="false">
      <c r="A45" s="23" t="n">
        <v>31</v>
      </c>
      <c r="B45" s="24" t="s">
        <v>94</v>
      </c>
      <c r="C45" s="23" t="s">
        <v>60</v>
      </c>
      <c r="D45" s="23" t="s">
        <v>81</v>
      </c>
      <c r="E45" s="24" t="s">
        <v>63</v>
      </c>
      <c r="F45" s="25" t="n">
        <v>46323</v>
      </c>
      <c r="G45" s="25" t="n">
        <v>46323</v>
      </c>
      <c r="H45" s="23" t="n">
        <f aca="false">G45-F45+1</f>
        <v>1</v>
      </c>
      <c r="I45" s="26" t="s">
        <v>51</v>
      </c>
      <c r="J45" s="26" t="s">
        <v>10</v>
      </c>
      <c r="K45" s="27" t="str">
        <f aca="false">IF(AND($F45&lt;=K$10+6,$G45&gt;=K$10),IF($I45="Hito",IF($J45="Completado","◆","◇")," "),"")</f>
        <v/>
      </c>
      <c r="L45" s="27" t="str">
        <f aca="false">IF(AND($F45&lt;=L$10+6,$G45&gt;=L$10),IF($I45="Hito",IF($J45="Completado","◆","◇")," "),"")</f>
        <v/>
      </c>
      <c r="M45" s="27" t="str">
        <f aca="false">IF(AND($F45&lt;=M$10+6,$G45&gt;=M$10),IF($I45="Hito",IF($J45="Completado","◆","◇")," "),"")</f>
        <v/>
      </c>
      <c r="N45" s="27" t="str">
        <f aca="false">IF(AND($F45&lt;=N$10+6,$G45&gt;=N$10),IF($I45="Hito",IF($J45="Completado","◆","◇")," "),"")</f>
        <v/>
      </c>
      <c r="O45" s="27" t="str">
        <f aca="false">IF(AND($F45&lt;=O$10+6,$G45&gt;=O$10),IF($I45="Hito",IF($J45="Completado","◆","◇")," "),"")</f>
        <v/>
      </c>
      <c r="P45" s="27" t="str">
        <f aca="false">IF(AND($F45&lt;=P$10+6,$G45&gt;=P$10),IF($I45="Hito",IF($J45="Completado","◆","◇")," "),"")</f>
        <v/>
      </c>
      <c r="Q45" s="27" t="str">
        <f aca="false">IF(AND($F45&lt;=Q$10+6,$G45&gt;=Q$10),IF($I45="Hito",IF($J45="Completado","◆","◇")," "),"")</f>
        <v/>
      </c>
      <c r="R45" s="27" t="str">
        <f aca="false">IF(AND($F45&lt;=R$10+6,$G45&gt;=R$10),IF($I45="Hito",IF($J45="Completado","◆","◇")," "),"")</f>
        <v/>
      </c>
      <c r="S45" s="27" t="str">
        <f aca="false">IF(AND($F45&lt;=S$10+6,$G45&gt;=S$10),IF($I45="Hito",IF($J45="Completado","◆","◇")," "),"")</f>
        <v/>
      </c>
      <c r="T45" s="27" t="str">
        <f aca="false">IF(AND($F45&lt;=T$10+6,$G45&gt;=T$10),IF($I45="Hito",IF($J45="Completado","◆","◇")," "),"")</f>
        <v/>
      </c>
      <c r="U45" s="27" t="str">
        <f aca="false">IF(AND($F45&lt;=U$10+6,$G45&gt;=U$10),IF($I45="Hito",IF($J45="Completado","◆","◇")," "),"")</f>
        <v/>
      </c>
      <c r="V45" s="27" t="str">
        <f aca="false">IF(AND($F45&lt;=V$10+6,$G45&gt;=V$10),IF($I45="Hito",IF($J45="Completado","◆","◇")," "),"")</f>
        <v> </v>
      </c>
      <c r="W45" s="27" t="str">
        <f aca="false">IF(AND($F45&lt;=W$10+6,$G45&gt;=W$10),IF($I45="Hito",IF($J45="Completado","◆","◇")," "),"")</f>
        <v/>
      </c>
      <c r="X45" s="27" t="str">
        <f aca="false">IF(AND($F45&lt;=X$10+6,$G45&gt;=X$10),IF($I45="Hito",IF($J45="Completado","◆","◇")," "),"")</f>
        <v/>
      </c>
      <c r="Y45" s="27" t="str">
        <f aca="false">IF(AND($F45&lt;=Y$10+6,$G45&gt;=Y$10),IF($I45="Hito",IF($J45="Completado","◆","◇")," "),"")</f>
        <v/>
      </c>
      <c r="Z45" s="27" t="str">
        <f aca="false">IF(AND($F45&lt;=Z$10+6,$G45&gt;=Z$10),IF($I45="Hito",IF($J45="Completado","◆","◇")," "),"")</f>
        <v/>
      </c>
      <c r="AA45" s="27" t="str">
        <f aca="false">IF(AND($F45&lt;=AA$10+6,$G45&gt;=AA$10),IF($I45="Hito",IF($J45="Completado","◆","◇")," "),"")</f>
        <v/>
      </c>
      <c r="AB45" s="27" t="str">
        <f aca="false">IF(AND($F45&lt;=AB$10+6,$G45&gt;=AB$10),IF($I45="Hito",IF($J45="Completado","◆","◇")," "),"")</f>
        <v/>
      </c>
    </row>
    <row r="46" customFormat="false" ht="18" hidden="false" customHeight="true" outlineLevel="0" collapsed="false">
      <c r="A46" s="23" t="n">
        <v>32</v>
      </c>
      <c r="B46" s="24" t="s">
        <v>95</v>
      </c>
      <c r="C46" s="23" t="s">
        <v>60</v>
      </c>
      <c r="D46" s="23" t="s">
        <v>81</v>
      </c>
      <c r="E46" s="24" t="s">
        <v>48</v>
      </c>
      <c r="F46" s="25" t="n">
        <v>46324</v>
      </c>
      <c r="G46" s="25" t="n">
        <v>46324</v>
      </c>
      <c r="H46" s="23" t="n">
        <f aca="false">G46-F46+1</f>
        <v>1</v>
      </c>
      <c r="I46" s="26" t="s">
        <v>49</v>
      </c>
      <c r="J46" s="26" t="s">
        <v>10</v>
      </c>
      <c r="K46" s="27" t="str">
        <f aca="false">IF(AND($F46&lt;=K$10+6,$G46&gt;=K$10),IF($I46="Hito",IF($J46="Completado","◆","◇")," "),"")</f>
        <v/>
      </c>
      <c r="L46" s="27" t="str">
        <f aca="false">IF(AND($F46&lt;=L$10+6,$G46&gt;=L$10),IF($I46="Hito",IF($J46="Completado","◆","◇")," "),"")</f>
        <v/>
      </c>
      <c r="M46" s="27" t="str">
        <f aca="false">IF(AND($F46&lt;=M$10+6,$G46&gt;=M$10),IF($I46="Hito",IF($J46="Completado","◆","◇")," "),"")</f>
        <v/>
      </c>
      <c r="N46" s="27" t="str">
        <f aca="false">IF(AND($F46&lt;=N$10+6,$G46&gt;=N$10),IF($I46="Hito",IF($J46="Completado","◆","◇")," "),"")</f>
        <v/>
      </c>
      <c r="O46" s="27" t="str">
        <f aca="false">IF(AND($F46&lt;=O$10+6,$G46&gt;=O$10),IF($I46="Hito",IF($J46="Completado","◆","◇")," "),"")</f>
        <v/>
      </c>
      <c r="P46" s="27" t="str">
        <f aca="false">IF(AND($F46&lt;=P$10+6,$G46&gt;=P$10),IF($I46="Hito",IF($J46="Completado","◆","◇")," "),"")</f>
        <v/>
      </c>
      <c r="Q46" s="27" t="str">
        <f aca="false">IF(AND($F46&lt;=Q$10+6,$G46&gt;=Q$10),IF($I46="Hito",IF($J46="Completado","◆","◇")," "),"")</f>
        <v/>
      </c>
      <c r="R46" s="27" t="str">
        <f aca="false">IF(AND($F46&lt;=R$10+6,$G46&gt;=R$10),IF($I46="Hito",IF($J46="Completado","◆","◇")," "),"")</f>
        <v/>
      </c>
      <c r="S46" s="27" t="str">
        <f aca="false">IF(AND($F46&lt;=S$10+6,$G46&gt;=S$10),IF($I46="Hito",IF($J46="Completado","◆","◇")," "),"")</f>
        <v/>
      </c>
      <c r="T46" s="27" t="str">
        <f aca="false">IF(AND($F46&lt;=T$10+6,$G46&gt;=T$10),IF($I46="Hito",IF($J46="Completado","◆","◇")," "),"")</f>
        <v/>
      </c>
      <c r="U46" s="27" t="str">
        <f aca="false">IF(AND($F46&lt;=U$10+6,$G46&gt;=U$10),IF($I46="Hito",IF($J46="Completado","◆","◇")," "),"")</f>
        <v/>
      </c>
      <c r="V46" s="27" t="str">
        <f aca="false">IF(AND($F46&lt;=V$10+6,$G46&gt;=V$10),IF($I46="Hito",IF($J46="Completado","◆","◇")," "),"")</f>
        <v>◇</v>
      </c>
      <c r="W46" s="27" t="str">
        <f aca="false">IF(AND($F46&lt;=W$10+6,$G46&gt;=W$10),IF($I46="Hito",IF($J46="Completado","◆","◇")," "),"")</f>
        <v/>
      </c>
      <c r="X46" s="27" t="str">
        <f aca="false">IF(AND($F46&lt;=X$10+6,$G46&gt;=X$10),IF($I46="Hito",IF($J46="Completado","◆","◇")," "),"")</f>
        <v/>
      </c>
      <c r="Y46" s="27" t="str">
        <f aca="false">IF(AND($F46&lt;=Y$10+6,$G46&gt;=Y$10),IF($I46="Hito",IF($J46="Completado","◆","◇")," "),"")</f>
        <v/>
      </c>
      <c r="Z46" s="27" t="str">
        <f aca="false">IF(AND($F46&lt;=Z$10+6,$G46&gt;=Z$10),IF($I46="Hito",IF($J46="Completado","◆","◇")," "),"")</f>
        <v/>
      </c>
      <c r="AA46" s="27" t="str">
        <f aca="false">IF(AND($F46&lt;=AA$10+6,$G46&gt;=AA$10),IF($I46="Hito",IF($J46="Completado","◆","◇")," "),"")</f>
        <v/>
      </c>
      <c r="AB46" s="27" t="str">
        <f aca="false">IF(AND($F46&lt;=AB$10+6,$G46&gt;=AB$10),IF($I46="Hito",IF($J46="Completado","◆","◇")," "),"")</f>
        <v/>
      </c>
    </row>
    <row r="47" customFormat="false" ht="30" hidden="false" customHeight="true" outlineLevel="0" collapsed="false">
      <c r="A47" s="23" t="n">
        <v>33</v>
      </c>
      <c r="B47" s="24" t="s">
        <v>96</v>
      </c>
      <c r="C47" s="23" t="s">
        <v>60</v>
      </c>
      <c r="D47" s="23" t="s">
        <v>81</v>
      </c>
      <c r="E47" s="24" t="s">
        <v>48</v>
      </c>
      <c r="F47" s="25" t="n">
        <v>46321</v>
      </c>
      <c r="G47" s="25" t="n">
        <v>46325</v>
      </c>
      <c r="H47" s="23" t="n">
        <f aca="false">G47-F47+1</f>
        <v>5</v>
      </c>
      <c r="I47" s="26" t="s">
        <v>51</v>
      </c>
      <c r="J47" s="26" t="s">
        <v>7</v>
      </c>
      <c r="K47" s="27" t="str">
        <f aca="false">IF(AND($F47&lt;=K$10+6,$G47&gt;=K$10),IF($I47="Hito",IF($J47="Completado","◆","◇")," "),"")</f>
        <v/>
      </c>
      <c r="L47" s="27" t="str">
        <f aca="false">IF(AND($F47&lt;=L$10+6,$G47&gt;=L$10),IF($I47="Hito",IF($J47="Completado","◆","◇")," "),"")</f>
        <v/>
      </c>
      <c r="M47" s="27" t="str">
        <f aca="false">IF(AND($F47&lt;=M$10+6,$G47&gt;=M$10),IF($I47="Hito",IF($J47="Completado","◆","◇")," "),"")</f>
        <v/>
      </c>
      <c r="N47" s="27" t="str">
        <f aca="false">IF(AND($F47&lt;=N$10+6,$G47&gt;=N$10),IF($I47="Hito",IF($J47="Completado","◆","◇")," "),"")</f>
        <v/>
      </c>
      <c r="O47" s="27" t="str">
        <f aca="false">IF(AND($F47&lt;=O$10+6,$G47&gt;=O$10),IF($I47="Hito",IF($J47="Completado","◆","◇")," "),"")</f>
        <v/>
      </c>
      <c r="P47" s="27" t="str">
        <f aca="false">IF(AND($F47&lt;=P$10+6,$G47&gt;=P$10),IF($I47="Hito",IF($J47="Completado","◆","◇")," "),"")</f>
        <v/>
      </c>
      <c r="Q47" s="27" t="str">
        <f aca="false">IF(AND($F47&lt;=Q$10+6,$G47&gt;=Q$10),IF($I47="Hito",IF($J47="Completado","◆","◇")," "),"")</f>
        <v/>
      </c>
      <c r="R47" s="27" t="str">
        <f aca="false">IF(AND($F47&lt;=R$10+6,$G47&gt;=R$10),IF($I47="Hito",IF($J47="Completado","◆","◇")," "),"")</f>
        <v/>
      </c>
      <c r="S47" s="27" t="str">
        <f aca="false">IF(AND($F47&lt;=S$10+6,$G47&gt;=S$10),IF($I47="Hito",IF($J47="Completado","◆","◇")," "),"")</f>
        <v/>
      </c>
      <c r="T47" s="27" t="str">
        <f aca="false">IF(AND($F47&lt;=T$10+6,$G47&gt;=T$10),IF($I47="Hito",IF($J47="Completado","◆","◇")," "),"")</f>
        <v/>
      </c>
      <c r="U47" s="27" t="str">
        <f aca="false">IF(AND($F47&lt;=U$10+6,$G47&gt;=U$10),IF($I47="Hito",IF($J47="Completado","◆","◇")," "),"")</f>
        <v/>
      </c>
      <c r="V47" s="27" t="str">
        <f aca="false">IF(AND($F47&lt;=V$10+6,$G47&gt;=V$10),IF($I47="Hito",IF($J47="Completado","◆","◇")," "),"")</f>
        <v> </v>
      </c>
      <c r="W47" s="27" t="str">
        <f aca="false">IF(AND($F47&lt;=W$10+6,$G47&gt;=W$10),IF($I47="Hito",IF($J47="Completado","◆","◇")," "),"")</f>
        <v/>
      </c>
      <c r="X47" s="27" t="str">
        <f aca="false">IF(AND($F47&lt;=X$10+6,$G47&gt;=X$10),IF($I47="Hito",IF($J47="Completado","◆","◇")," "),"")</f>
        <v/>
      </c>
      <c r="Y47" s="27" t="str">
        <f aca="false">IF(AND($F47&lt;=Y$10+6,$G47&gt;=Y$10),IF($I47="Hito",IF($J47="Completado","◆","◇")," "),"")</f>
        <v/>
      </c>
      <c r="Z47" s="27" t="str">
        <f aca="false">IF(AND($F47&lt;=Z$10+6,$G47&gt;=Z$10),IF($I47="Hito",IF($J47="Completado","◆","◇")," "),"")</f>
        <v/>
      </c>
      <c r="AA47" s="27" t="str">
        <f aca="false">IF(AND($F47&lt;=AA$10+6,$G47&gt;=AA$10),IF($I47="Hito",IF($J47="Completado","◆","◇")," "),"")</f>
        <v/>
      </c>
      <c r="AB47" s="27" t="str">
        <f aca="false">IF(AND($F47&lt;=AB$10+6,$G47&gt;=AB$10),IF($I47="Hito",IF($J47="Completado","◆","◇")," "),"")</f>
        <v/>
      </c>
    </row>
    <row r="48" customFormat="false" ht="18" hidden="false" customHeight="true" outlineLevel="0" collapsed="false">
      <c r="A48" s="23" t="n">
        <v>34</v>
      </c>
      <c r="B48" s="24" t="s">
        <v>97</v>
      </c>
      <c r="C48" s="23" t="s">
        <v>60</v>
      </c>
      <c r="D48" s="23" t="s">
        <v>81</v>
      </c>
      <c r="E48" s="24" t="s">
        <v>63</v>
      </c>
      <c r="F48" s="25" t="n">
        <v>46325</v>
      </c>
      <c r="G48" s="25" t="n">
        <v>46325</v>
      </c>
      <c r="H48" s="23" t="n">
        <f aca="false">G48-F48+1</f>
        <v>1</v>
      </c>
      <c r="I48" s="26" t="s">
        <v>51</v>
      </c>
      <c r="J48" s="26" t="s">
        <v>10</v>
      </c>
      <c r="K48" s="27" t="str">
        <f aca="false">IF(AND($F48&lt;=K$10+6,$G48&gt;=K$10),IF($I48="Hito",IF($J48="Completado","◆","◇")," "),"")</f>
        <v/>
      </c>
      <c r="L48" s="27" t="str">
        <f aca="false">IF(AND($F48&lt;=L$10+6,$G48&gt;=L$10),IF($I48="Hito",IF($J48="Completado","◆","◇")," "),"")</f>
        <v/>
      </c>
      <c r="M48" s="27" t="str">
        <f aca="false">IF(AND($F48&lt;=M$10+6,$G48&gt;=M$10),IF($I48="Hito",IF($J48="Completado","◆","◇")," "),"")</f>
        <v/>
      </c>
      <c r="N48" s="27" t="str">
        <f aca="false">IF(AND($F48&lt;=N$10+6,$G48&gt;=N$10),IF($I48="Hito",IF($J48="Completado","◆","◇")," "),"")</f>
        <v/>
      </c>
      <c r="O48" s="27" t="str">
        <f aca="false">IF(AND($F48&lt;=O$10+6,$G48&gt;=O$10),IF($I48="Hito",IF($J48="Completado","◆","◇")," "),"")</f>
        <v/>
      </c>
      <c r="P48" s="27" t="str">
        <f aca="false">IF(AND($F48&lt;=P$10+6,$G48&gt;=P$10),IF($I48="Hito",IF($J48="Completado","◆","◇")," "),"")</f>
        <v/>
      </c>
      <c r="Q48" s="27" t="str">
        <f aca="false">IF(AND($F48&lt;=Q$10+6,$G48&gt;=Q$10),IF($I48="Hito",IF($J48="Completado","◆","◇")," "),"")</f>
        <v/>
      </c>
      <c r="R48" s="27" t="str">
        <f aca="false">IF(AND($F48&lt;=R$10+6,$G48&gt;=R$10),IF($I48="Hito",IF($J48="Completado","◆","◇")," "),"")</f>
        <v/>
      </c>
      <c r="S48" s="27" t="str">
        <f aca="false">IF(AND($F48&lt;=S$10+6,$G48&gt;=S$10),IF($I48="Hito",IF($J48="Completado","◆","◇")," "),"")</f>
        <v/>
      </c>
      <c r="T48" s="27" t="str">
        <f aca="false">IF(AND($F48&lt;=T$10+6,$G48&gt;=T$10),IF($I48="Hito",IF($J48="Completado","◆","◇")," "),"")</f>
        <v/>
      </c>
      <c r="U48" s="27" t="str">
        <f aca="false">IF(AND($F48&lt;=U$10+6,$G48&gt;=U$10),IF($I48="Hito",IF($J48="Completado","◆","◇")," "),"")</f>
        <v/>
      </c>
      <c r="V48" s="27" t="str">
        <f aca="false">IF(AND($F48&lt;=V$10+6,$G48&gt;=V$10),IF($I48="Hito",IF($J48="Completado","◆","◇")," "),"")</f>
        <v> </v>
      </c>
      <c r="W48" s="27" t="str">
        <f aca="false">IF(AND($F48&lt;=W$10+6,$G48&gt;=W$10),IF($I48="Hito",IF($J48="Completado","◆","◇")," "),"")</f>
        <v/>
      </c>
      <c r="X48" s="27" t="str">
        <f aca="false">IF(AND($F48&lt;=X$10+6,$G48&gt;=X$10),IF($I48="Hito",IF($J48="Completado","◆","◇")," "),"")</f>
        <v/>
      </c>
      <c r="Y48" s="27" t="str">
        <f aca="false">IF(AND($F48&lt;=Y$10+6,$G48&gt;=Y$10),IF($I48="Hito",IF($J48="Completado","◆","◇")," "),"")</f>
        <v/>
      </c>
      <c r="Z48" s="27" t="str">
        <f aca="false">IF(AND($F48&lt;=Z$10+6,$G48&gt;=Z$10),IF($I48="Hito",IF($J48="Completado","◆","◇")," "),"")</f>
        <v/>
      </c>
      <c r="AA48" s="27" t="str">
        <f aca="false">IF(AND($F48&lt;=AA$10+6,$G48&gt;=AA$10),IF($I48="Hito",IF($J48="Completado","◆","◇")," "),"")</f>
        <v/>
      </c>
      <c r="AB48" s="27" t="str">
        <f aca="false">IF(AND($F48&lt;=AB$10+6,$G48&gt;=AB$10),IF($I48="Hito",IF($J48="Completado","◆","◇")," "),"")</f>
        <v/>
      </c>
    </row>
    <row r="49" customFormat="false" ht="18" hidden="false" customHeight="true" outlineLevel="0" collapsed="false">
      <c r="A49" s="23" t="n">
        <v>35</v>
      </c>
      <c r="B49" s="24" t="s">
        <v>98</v>
      </c>
      <c r="C49" s="23" t="s">
        <v>60</v>
      </c>
      <c r="D49" s="23" t="s">
        <v>81</v>
      </c>
      <c r="E49" s="24" t="s">
        <v>67</v>
      </c>
      <c r="F49" s="25" t="n">
        <v>46326</v>
      </c>
      <c r="G49" s="25" t="n">
        <v>46326</v>
      </c>
      <c r="H49" s="23" t="n">
        <f aca="false">G49-F49+1</f>
        <v>1</v>
      </c>
      <c r="I49" s="26" t="s">
        <v>49</v>
      </c>
      <c r="J49" s="26" t="s">
        <v>10</v>
      </c>
      <c r="K49" s="27" t="str">
        <f aca="false">IF(AND($F49&lt;=K$10+6,$G49&gt;=K$10),IF($I49="Hito",IF($J49="Completado","◆","◇")," "),"")</f>
        <v/>
      </c>
      <c r="L49" s="27" t="str">
        <f aca="false">IF(AND($F49&lt;=L$10+6,$G49&gt;=L$10),IF($I49="Hito",IF($J49="Completado","◆","◇")," "),"")</f>
        <v/>
      </c>
      <c r="M49" s="27" t="str">
        <f aca="false">IF(AND($F49&lt;=M$10+6,$G49&gt;=M$10),IF($I49="Hito",IF($J49="Completado","◆","◇")," "),"")</f>
        <v/>
      </c>
      <c r="N49" s="27" t="str">
        <f aca="false">IF(AND($F49&lt;=N$10+6,$G49&gt;=N$10),IF($I49="Hito",IF($J49="Completado","◆","◇")," "),"")</f>
        <v/>
      </c>
      <c r="O49" s="27" t="str">
        <f aca="false">IF(AND($F49&lt;=O$10+6,$G49&gt;=O$10),IF($I49="Hito",IF($J49="Completado","◆","◇")," "),"")</f>
        <v/>
      </c>
      <c r="P49" s="27" t="str">
        <f aca="false">IF(AND($F49&lt;=P$10+6,$G49&gt;=P$10),IF($I49="Hito",IF($J49="Completado","◆","◇")," "),"")</f>
        <v/>
      </c>
      <c r="Q49" s="27" t="str">
        <f aca="false">IF(AND($F49&lt;=Q$10+6,$G49&gt;=Q$10),IF($I49="Hito",IF($J49="Completado","◆","◇")," "),"")</f>
        <v/>
      </c>
      <c r="R49" s="27" t="str">
        <f aca="false">IF(AND($F49&lt;=R$10+6,$G49&gt;=R$10),IF($I49="Hito",IF($J49="Completado","◆","◇")," "),"")</f>
        <v/>
      </c>
      <c r="S49" s="27" t="str">
        <f aca="false">IF(AND($F49&lt;=S$10+6,$G49&gt;=S$10),IF($I49="Hito",IF($J49="Completado","◆","◇")," "),"")</f>
        <v/>
      </c>
      <c r="T49" s="27" t="str">
        <f aca="false">IF(AND($F49&lt;=T$10+6,$G49&gt;=T$10),IF($I49="Hito",IF($J49="Completado","◆","◇")," "),"")</f>
        <v/>
      </c>
      <c r="U49" s="27" t="str">
        <f aca="false">IF(AND($F49&lt;=U$10+6,$G49&gt;=U$10),IF($I49="Hito",IF($J49="Completado","◆","◇")," "),"")</f>
        <v/>
      </c>
      <c r="V49" s="27" t="str">
        <f aca="false">IF(AND($F49&lt;=V$10+6,$G49&gt;=V$10),IF($I49="Hito",IF($J49="Completado","◆","◇")," "),"")</f>
        <v>◇</v>
      </c>
      <c r="W49" s="27" t="str">
        <f aca="false">IF(AND($F49&lt;=W$10+6,$G49&gt;=W$10),IF($I49="Hito",IF($J49="Completado","◆","◇")," "),"")</f>
        <v/>
      </c>
      <c r="X49" s="27" t="str">
        <f aca="false">IF(AND($F49&lt;=X$10+6,$G49&gt;=X$10),IF($I49="Hito",IF($J49="Completado","◆","◇")," "),"")</f>
        <v/>
      </c>
      <c r="Y49" s="27" t="str">
        <f aca="false">IF(AND($F49&lt;=Y$10+6,$G49&gt;=Y$10),IF($I49="Hito",IF($J49="Completado","◆","◇")," "),"")</f>
        <v/>
      </c>
      <c r="Z49" s="27" t="str">
        <f aca="false">IF(AND($F49&lt;=Z$10+6,$G49&gt;=Z$10),IF($I49="Hito",IF($J49="Completado","◆","◇")," "),"")</f>
        <v/>
      </c>
      <c r="AA49" s="27" t="str">
        <f aca="false">IF(AND($F49&lt;=AA$10+6,$G49&gt;=AA$10),IF($I49="Hito",IF($J49="Completado","◆","◇")," "),"")</f>
        <v/>
      </c>
      <c r="AB49" s="27" t="str">
        <f aca="false">IF(AND($F49&lt;=AB$10+6,$G49&gt;=AB$10),IF($I49="Hito",IF($J49="Completado","◆","◇")," "),"")</f>
        <v/>
      </c>
    </row>
    <row r="50" customFormat="false" ht="18" hidden="false" customHeight="true" outlineLevel="0" collapsed="false">
      <c r="A50" s="21" t="s">
        <v>99</v>
      </c>
      <c r="B50" s="21"/>
      <c r="C50" s="21"/>
      <c r="D50" s="21"/>
      <c r="E50" s="21"/>
      <c r="F50" s="21"/>
      <c r="G50" s="21"/>
      <c r="H50" s="21"/>
      <c r="I50" s="21"/>
      <c r="J50" s="21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</row>
    <row r="51" customFormat="false" ht="30" hidden="false" customHeight="true" outlineLevel="0" collapsed="false">
      <c r="A51" s="23" t="n">
        <v>36</v>
      </c>
      <c r="B51" s="24" t="s">
        <v>100</v>
      </c>
      <c r="C51" s="23" t="s">
        <v>60</v>
      </c>
      <c r="D51" s="23" t="s">
        <v>101</v>
      </c>
      <c r="E51" s="24" t="s">
        <v>48</v>
      </c>
      <c r="F51" s="25" t="n">
        <v>46329</v>
      </c>
      <c r="G51" s="25" t="n">
        <v>46334</v>
      </c>
      <c r="H51" s="23" t="n">
        <f aca="false">G51-F51+1</f>
        <v>6</v>
      </c>
      <c r="I51" s="26" t="s">
        <v>51</v>
      </c>
      <c r="J51" s="26" t="s">
        <v>10</v>
      </c>
      <c r="K51" s="27" t="str">
        <f aca="false">IF(AND($F51&lt;=K$10+6,$G51&gt;=K$10),IF($I51="Hito",IF($J51="Completado","◆","◇")," "),"")</f>
        <v/>
      </c>
      <c r="L51" s="27" t="str">
        <f aca="false">IF(AND($F51&lt;=L$10+6,$G51&gt;=L$10),IF($I51="Hito",IF($J51="Completado","◆","◇")," "),"")</f>
        <v/>
      </c>
      <c r="M51" s="27" t="str">
        <f aca="false">IF(AND($F51&lt;=M$10+6,$G51&gt;=M$10),IF($I51="Hito",IF($J51="Completado","◆","◇")," "),"")</f>
        <v/>
      </c>
      <c r="N51" s="27" t="str">
        <f aca="false">IF(AND($F51&lt;=N$10+6,$G51&gt;=N$10),IF($I51="Hito",IF($J51="Completado","◆","◇")," "),"")</f>
        <v/>
      </c>
      <c r="O51" s="27" t="str">
        <f aca="false">IF(AND($F51&lt;=O$10+6,$G51&gt;=O$10),IF($I51="Hito",IF($J51="Completado","◆","◇")," "),"")</f>
        <v/>
      </c>
      <c r="P51" s="27" t="str">
        <f aca="false">IF(AND($F51&lt;=P$10+6,$G51&gt;=P$10),IF($I51="Hito",IF($J51="Completado","◆","◇")," "),"")</f>
        <v/>
      </c>
      <c r="Q51" s="27" t="str">
        <f aca="false">IF(AND($F51&lt;=Q$10+6,$G51&gt;=Q$10),IF($I51="Hito",IF($J51="Completado","◆","◇")," "),"")</f>
        <v/>
      </c>
      <c r="R51" s="27" t="str">
        <f aca="false">IF(AND($F51&lt;=R$10+6,$G51&gt;=R$10),IF($I51="Hito",IF($J51="Completado","◆","◇")," "),"")</f>
        <v/>
      </c>
      <c r="S51" s="27" t="str">
        <f aca="false">IF(AND($F51&lt;=S$10+6,$G51&gt;=S$10),IF($I51="Hito",IF($J51="Completado","◆","◇")," "),"")</f>
        <v/>
      </c>
      <c r="T51" s="27" t="str">
        <f aca="false">IF(AND($F51&lt;=T$10+6,$G51&gt;=T$10),IF($I51="Hito",IF($J51="Completado","◆","◇")," "),"")</f>
        <v/>
      </c>
      <c r="U51" s="27" t="str">
        <f aca="false">IF(AND($F51&lt;=U$10+6,$G51&gt;=U$10),IF($I51="Hito",IF($J51="Completado","◆","◇")," "),"")</f>
        <v/>
      </c>
      <c r="V51" s="27" t="str">
        <f aca="false">IF(AND($F51&lt;=V$10+6,$G51&gt;=V$10),IF($I51="Hito",IF($J51="Completado","◆","◇")," "),"")</f>
        <v/>
      </c>
      <c r="W51" s="27" t="str">
        <f aca="false">IF(AND($F51&lt;=W$10+6,$G51&gt;=W$10),IF($I51="Hito",IF($J51="Completado","◆","◇")," "),"")</f>
        <v> </v>
      </c>
      <c r="X51" s="27" t="str">
        <f aca="false">IF(AND($F51&lt;=X$10+6,$G51&gt;=X$10),IF($I51="Hito",IF($J51="Completado","◆","◇")," "),"")</f>
        <v/>
      </c>
      <c r="Y51" s="27" t="str">
        <f aca="false">IF(AND($F51&lt;=Y$10+6,$G51&gt;=Y$10),IF($I51="Hito",IF($J51="Completado","◆","◇")," "),"")</f>
        <v/>
      </c>
      <c r="Z51" s="27" t="str">
        <f aca="false">IF(AND($F51&lt;=Z$10+6,$G51&gt;=Z$10),IF($I51="Hito",IF($J51="Completado","◆","◇")," "),"")</f>
        <v/>
      </c>
      <c r="AA51" s="27" t="str">
        <f aca="false">IF(AND($F51&lt;=AA$10+6,$G51&gt;=AA$10),IF($I51="Hito",IF($J51="Completado","◆","◇")," "),"")</f>
        <v/>
      </c>
      <c r="AB51" s="27" t="str">
        <f aca="false">IF(AND($F51&lt;=AB$10+6,$G51&gt;=AB$10),IF($I51="Hito",IF($J51="Completado","◆","◇")," "),"")</f>
        <v/>
      </c>
    </row>
    <row r="52" customFormat="false" ht="30" hidden="false" customHeight="true" outlineLevel="0" collapsed="false">
      <c r="A52" s="23" t="n">
        <v>37</v>
      </c>
      <c r="B52" s="24" t="s">
        <v>102</v>
      </c>
      <c r="C52" s="23" t="s">
        <v>60</v>
      </c>
      <c r="D52" s="23" t="s">
        <v>101</v>
      </c>
      <c r="E52" s="24" t="s">
        <v>48</v>
      </c>
      <c r="F52" s="25" t="n">
        <v>46335</v>
      </c>
      <c r="G52" s="25" t="n">
        <v>46342</v>
      </c>
      <c r="H52" s="23" t="n">
        <f aca="false">G52-F52+1</f>
        <v>8</v>
      </c>
      <c r="I52" s="26" t="s">
        <v>51</v>
      </c>
      <c r="J52" s="26" t="s">
        <v>10</v>
      </c>
      <c r="K52" s="27" t="str">
        <f aca="false">IF(AND($F52&lt;=K$10+6,$G52&gt;=K$10),IF($I52="Hito",IF($J52="Completado","◆","◇")," "),"")</f>
        <v/>
      </c>
      <c r="L52" s="27" t="str">
        <f aca="false">IF(AND($F52&lt;=L$10+6,$G52&gt;=L$10),IF($I52="Hito",IF($J52="Completado","◆","◇")," "),"")</f>
        <v/>
      </c>
      <c r="M52" s="27" t="str">
        <f aca="false">IF(AND($F52&lt;=M$10+6,$G52&gt;=M$10),IF($I52="Hito",IF($J52="Completado","◆","◇")," "),"")</f>
        <v/>
      </c>
      <c r="N52" s="27" t="str">
        <f aca="false">IF(AND($F52&lt;=N$10+6,$G52&gt;=N$10),IF($I52="Hito",IF($J52="Completado","◆","◇")," "),"")</f>
        <v/>
      </c>
      <c r="O52" s="27" t="str">
        <f aca="false">IF(AND($F52&lt;=O$10+6,$G52&gt;=O$10),IF($I52="Hito",IF($J52="Completado","◆","◇")," "),"")</f>
        <v/>
      </c>
      <c r="P52" s="27" t="str">
        <f aca="false">IF(AND($F52&lt;=P$10+6,$G52&gt;=P$10),IF($I52="Hito",IF($J52="Completado","◆","◇")," "),"")</f>
        <v/>
      </c>
      <c r="Q52" s="27" t="str">
        <f aca="false">IF(AND($F52&lt;=Q$10+6,$G52&gt;=Q$10),IF($I52="Hito",IF($J52="Completado","◆","◇")," "),"")</f>
        <v/>
      </c>
      <c r="R52" s="27" t="str">
        <f aca="false">IF(AND($F52&lt;=R$10+6,$G52&gt;=R$10),IF($I52="Hito",IF($J52="Completado","◆","◇")," "),"")</f>
        <v/>
      </c>
      <c r="S52" s="27" t="str">
        <f aca="false">IF(AND($F52&lt;=S$10+6,$G52&gt;=S$10),IF($I52="Hito",IF($J52="Completado","◆","◇")," "),"")</f>
        <v/>
      </c>
      <c r="T52" s="27" t="str">
        <f aca="false">IF(AND($F52&lt;=T$10+6,$G52&gt;=T$10),IF($I52="Hito",IF($J52="Completado","◆","◇")," "),"")</f>
        <v/>
      </c>
      <c r="U52" s="27" t="str">
        <f aca="false">IF(AND($F52&lt;=U$10+6,$G52&gt;=U$10),IF($I52="Hito",IF($J52="Completado","◆","◇")," "),"")</f>
        <v/>
      </c>
      <c r="V52" s="27" t="str">
        <f aca="false">IF(AND($F52&lt;=V$10+6,$G52&gt;=V$10),IF($I52="Hito",IF($J52="Completado","◆","◇")," "),"")</f>
        <v/>
      </c>
      <c r="W52" s="27" t="str">
        <f aca="false">IF(AND($F52&lt;=W$10+6,$G52&gt;=W$10),IF($I52="Hito",IF($J52="Completado","◆","◇")," "),"")</f>
        <v/>
      </c>
      <c r="X52" s="27" t="str">
        <f aca="false">IF(AND($F52&lt;=X$10+6,$G52&gt;=X$10),IF($I52="Hito",IF($J52="Completado","◆","◇")," "),"")</f>
        <v> </v>
      </c>
      <c r="Y52" s="27" t="str">
        <f aca="false">IF(AND($F52&lt;=Y$10+6,$G52&gt;=Y$10),IF($I52="Hito",IF($J52="Completado","◆","◇")," "),"")</f>
        <v> </v>
      </c>
      <c r="Z52" s="27" t="str">
        <f aca="false">IF(AND($F52&lt;=Z$10+6,$G52&gt;=Z$10),IF($I52="Hito",IF($J52="Completado","◆","◇")," "),"")</f>
        <v/>
      </c>
      <c r="AA52" s="27" t="str">
        <f aca="false">IF(AND($F52&lt;=AA$10+6,$G52&gt;=AA$10),IF($I52="Hito",IF($J52="Completado","◆","◇")," "),"")</f>
        <v/>
      </c>
      <c r="AB52" s="27" t="str">
        <f aca="false">IF(AND($F52&lt;=AB$10+6,$G52&gt;=AB$10),IF($I52="Hito",IF($J52="Completado","◆","◇")," "),"")</f>
        <v/>
      </c>
    </row>
    <row r="53" customFormat="false" ht="18" hidden="false" customHeight="true" outlineLevel="0" collapsed="false">
      <c r="A53" s="21" t="s">
        <v>103</v>
      </c>
      <c r="B53" s="21"/>
      <c r="C53" s="21"/>
      <c r="D53" s="21"/>
      <c r="E53" s="21"/>
      <c r="F53" s="21"/>
      <c r="G53" s="21"/>
      <c r="H53" s="21"/>
      <c r="I53" s="21"/>
      <c r="J53" s="21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</row>
    <row r="54" customFormat="false" ht="18" hidden="false" customHeight="true" outlineLevel="0" collapsed="false">
      <c r="A54" s="23" t="n">
        <v>38</v>
      </c>
      <c r="B54" s="24" t="s">
        <v>104</v>
      </c>
      <c r="C54" s="23" t="s">
        <v>60</v>
      </c>
      <c r="D54" s="23" t="s">
        <v>105</v>
      </c>
      <c r="E54" s="24" t="s">
        <v>48</v>
      </c>
      <c r="F54" s="25" t="n">
        <v>46343</v>
      </c>
      <c r="G54" s="25" t="n">
        <v>46348</v>
      </c>
      <c r="H54" s="23" t="n">
        <f aca="false">G54-F54+1</f>
        <v>6</v>
      </c>
      <c r="I54" s="26" t="s">
        <v>51</v>
      </c>
      <c r="J54" s="26" t="s">
        <v>10</v>
      </c>
      <c r="K54" s="27" t="str">
        <f aca="false">IF(AND($F54&lt;=K$10+6,$G54&gt;=K$10),IF($I54="Hito",IF($J54="Completado","◆","◇")," "),"")</f>
        <v/>
      </c>
      <c r="L54" s="27" t="str">
        <f aca="false">IF(AND($F54&lt;=L$10+6,$G54&gt;=L$10),IF($I54="Hito",IF($J54="Completado","◆","◇")," "),"")</f>
        <v/>
      </c>
      <c r="M54" s="27" t="str">
        <f aca="false">IF(AND($F54&lt;=M$10+6,$G54&gt;=M$10),IF($I54="Hito",IF($J54="Completado","◆","◇")," "),"")</f>
        <v/>
      </c>
      <c r="N54" s="27" t="str">
        <f aca="false">IF(AND($F54&lt;=N$10+6,$G54&gt;=N$10),IF($I54="Hito",IF($J54="Completado","◆","◇")," "),"")</f>
        <v/>
      </c>
      <c r="O54" s="27" t="str">
        <f aca="false">IF(AND($F54&lt;=O$10+6,$G54&gt;=O$10),IF($I54="Hito",IF($J54="Completado","◆","◇")," "),"")</f>
        <v/>
      </c>
      <c r="P54" s="27" t="str">
        <f aca="false">IF(AND($F54&lt;=P$10+6,$G54&gt;=P$10),IF($I54="Hito",IF($J54="Completado","◆","◇")," "),"")</f>
        <v/>
      </c>
      <c r="Q54" s="27" t="str">
        <f aca="false">IF(AND($F54&lt;=Q$10+6,$G54&gt;=Q$10),IF($I54="Hito",IF($J54="Completado","◆","◇")," "),"")</f>
        <v/>
      </c>
      <c r="R54" s="27" t="str">
        <f aca="false">IF(AND($F54&lt;=R$10+6,$G54&gt;=R$10),IF($I54="Hito",IF($J54="Completado","◆","◇")," "),"")</f>
        <v/>
      </c>
      <c r="S54" s="27" t="str">
        <f aca="false">IF(AND($F54&lt;=S$10+6,$G54&gt;=S$10),IF($I54="Hito",IF($J54="Completado","◆","◇")," "),"")</f>
        <v/>
      </c>
      <c r="T54" s="27" t="str">
        <f aca="false">IF(AND($F54&lt;=T$10+6,$G54&gt;=T$10),IF($I54="Hito",IF($J54="Completado","◆","◇")," "),"")</f>
        <v/>
      </c>
      <c r="U54" s="27" t="str">
        <f aca="false">IF(AND($F54&lt;=U$10+6,$G54&gt;=U$10),IF($I54="Hito",IF($J54="Completado","◆","◇")," "),"")</f>
        <v/>
      </c>
      <c r="V54" s="27" t="str">
        <f aca="false">IF(AND($F54&lt;=V$10+6,$G54&gt;=V$10),IF($I54="Hito",IF($J54="Completado","◆","◇")," "),"")</f>
        <v/>
      </c>
      <c r="W54" s="27" t="str">
        <f aca="false">IF(AND($F54&lt;=W$10+6,$G54&gt;=W$10),IF($I54="Hito",IF($J54="Completado","◆","◇")," "),"")</f>
        <v/>
      </c>
      <c r="X54" s="27" t="str">
        <f aca="false">IF(AND($F54&lt;=X$10+6,$G54&gt;=X$10),IF($I54="Hito",IF($J54="Completado","◆","◇")," "),"")</f>
        <v/>
      </c>
      <c r="Y54" s="27" t="str">
        <f aca="false">IF(AND($F54&lt;=Y$10+6,$G54&gt;=Y$10),IF($I54="Hito",IF($J54="Completado","◆","◇")," "),"")</f>
        <v> </v>
      </c>
      <c r="Z54" s="27" t="str">
        <f aca="false">IF(AND($F54&lt;=Z$10+6,$G54&gt;=Z$10),IF($I54="Hito",IF($J54="Completado","◆","◇")," "),"")</f>
        <v/>
      </c>
      <c r="AA54" s="27" t="str">
        <f aca="false">IF(AND($F54&lt;=AA$10+6,$G54&gt;=AA$10),IF($I54="Hito",IF($J54="Completado","◆","◇")," "),"")</f>
        <v/>
      </c>
      <c r="AB54" s="27" t="str">
        <f aca="false">IF(AND($F54&lt;=AB$10+6,$G54&gt;=AB$10),IF($I54="Hito",IF($J54="Completado","◆","◇")," "),"")</f>
        <v/>
      </c>
    </row>
    <row r="55" customFormat="false" ht="30" hidden="false" customHeight="true" outlineLevel="0" collapsed="false">
      <c r="A55" s="23" t="n">
        <v>39</v>
      </c>
      <c r="B55" s="24" t="s">
        <v>106</v>
      </c>
      <c r="C55" s="23" t="s">
        <v>60</v>
      </c>
      <c r="D55" s="23" t="s">
        <v>105</v>
      </c>
      <c r="E55" s="24" t="s">
        <v>48</v>
      </c>
      <c r="F55" s="25" t="n">
        <v>46349</v>
      </c>
      <c r="G55" s="25" t="n">
        <v>46355</v>
      </c>
      <c r="H55" s="23" t="n">
        <f aca="false">G55-F55+1</f>
        <v>7</v>
      </c>
      <c r="I55" s="26" t="s">
        <v>51</v>
      </c>
      <c r="J55" s="26" t="s">
        <v>10</v>
      </c>
      <c r="K55" s="27" t="str">
        <f aca="false">IF(AND($F55&lt;=K$10+6,$G55&gt;=K$10),IF($I55="Hito",IF($J55="Completado","◆","◇")," "),"")</f>
        <v/>
      </c>
      <c r="L55" s="27" t="str">
        <f aca="false">IF(AND($F55&lt;=L$10+6,$G55&gt;=L$10),IF($I55="Hito",IF($J55="Completado","◆","◇")," "),"")</f>
        <v/>
      </c>
      <c r="M55" s="27" t="str">
        <f aca="false">IF(AND($F55&lt;=M$10+6,$G55&gt;=M$10),IF($I55="Hito",IF($J55="Completado","◆","◇")," "),"")</f>
        <v/>
      </c>
      <c r="N55" s="27" t="str">
        <f aca="false">IF(AND($F55&lt;=N$10+6,$G55&gt;=N$10),IF($I55="Hito",IF($J55="Completado","◆","◇")," "),"")</f>
        <v/>
      </c>
      <c r="O55" s="27" t="str">
        <f aca="false">IF(AND($F55&lt;=O$10+6,$G55&gt;=O$10),IF($I55="Hito",IF($J55="Completado","◆","◇")," "),"")</f>
        <v/>
      </c>
      <c r="P55" s="27" t="str">
        <f aca="false">IF(AND($F55&lt;=P$10+6,$G55&gt;=P$10),IF($I55="Hito",IF($J55="Completado","◆","◇")," "),"")</f>
        <v/>
      </c>
      <c r="Q55" s="27" t="str">
        <f aca="false">IF(AND($F55&lt;=Q$10+6,$G55&gt;=Q$10),IF($I55="Hito",IF($J55="Completado","◆","◇")," "),"")</f>
        <v/>
      </c>
      <c r="R55" s="27" t="str">
        <f aca="false">IF(AND($F55&lt;=R$10+6,$G55&gt;=R$10),IF($I55="Hito",IF($J55="Completado","◆","◇")," "),"")</f>
        <v/>
      </c>
      <c r="S55" s="27" t="str">
        <f aca="false">IF(AND($F55&lt;=S$10+6,$G55&gt;=S$10),IF($I55="Hito",IF($J55="Completado","◆","◇")," "),"")</f>
        <v/>
      </c>
      <c r="T55" s="27" t="str">
        <f aca="false">IF(AND($F55&lt;=T$10+6,$G55&gt;=T$10),IF($I55="Hito",IF($J55="Completado","◆","◇")," "),"")</f>
        <v/>
      </c>
      <c r="U55" s="27" t="str">
        <f aca="false">IF(AND($F55&lt;=U$10+6,$G55&gt;=U$10),IF($I55="Hito",IF($J55="Completado","◆","◇")," "),"")</f>
        <v/>
      </c>
      <c r="V55" s="27" t="str">
        <f aca="false">IF(AND($F55&lt;=V$10+6,$G55&gt;=V$10),IF($I55="Hito",IF($J55="Completado","◆","◇")," "),"")</f>
        <v/>
      </c>
      <c r="W55" s="27" t="str">
        <f aca="false">IF(AND($F55&lt;=W$10+6,$G55&gt;=W$10),IF($I55="Hito",IF($J55="Completado","◆","◇")," "),"")</f>
        <v/>
      </c>
      <c r="X55" s="27" t="str">
        <f aca="false">IF(AND($F55&lt;=X$10+6,$G55&gt;=X$10),IF($I55="Hito",IF($J55="Completado","◆","◇")," "),"")</f>
        <v/>
      </c>
      <c r="Y55" s="27" t="str">
        <f aca="false">IF(AND($F55&lt;=Y$10+6,$G55&gt;=Y$10),IF($I55="Hito",IF($J55="Completado","◆","◇")," "),"")</f>
        <v/>
      </c>
      <c r="Z55" s="27" t="str">
        <f aca="false">IF(AND($F55&lt;=Z$10+6,$G55&gt;=Z$10),IF($I55="Hito",IF($J55="Completado","◆","◇")," "),"")</f>
        <v> </v>
      </c>
      <c r="AA55" s="27" t="str">
        <f aca="false">IF(AND($F55&lt;=AA$10+6,$G55&gt;=AA$10),IF($I55="Hito",IF($J55="Completado","◆","◇")," "),"")</f>
        <v/>
      </c>
      <c r="AB55" s="27" t="str">
        <f aca="false">IF(AND($F55&lt;=AB$10+6,$G55&gt;=AB$10),IF($I55="Hito",IF($J55="Completado","◆","◇")," "),"")</f>
        <v/>
      </c>
    </row>
    <row r="56" customFormat="false" ht="18" hidden="false" customHeight="true" outlineLevel="0" collapsed="false">
      <c r="A56" s="21" t="s">
        <v>107</v>
      </c>
      <c r="B56" s="21"/>
      <c r="C56" s="21"/>
      <c r="D56" s="21"/>
      <c r="E56" s="21"/>
      <c r="F56" s="21"/>
      <c r="G56" s="21"/>
      <c r="H56" s="21"/>
      <c r="I56" s="21"/>
      <c r="J56" s="21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</row>
    <row r="57" customFormat="false" ht="18" hidden="false" customHeight="true" outlineLevel="0" collapsed="false">
      <c r="A57" s="23" t="n">
        <v>40</v>
      </c>
      <c r="B57" s="24" t="s">
        <v>108</v>
      </c>
      <c r="C57" s="23" t="s">
        <v>16</v>
      </c>
      <c r="D57" s="23" t="s">
        <v>47</v>
      </c>
      <c r="E57" s="24" t="s">
        <v>48</v>
      </c>
      <c r="F57" s="25" t="n">
        <v>46356</v>
      </c>
      <c r="G57" s="25" t="n">
        <v>46360</v>
      </c>
      <c r="H57" s="23" t="n">
        <f aca="false">G57-F57+1</f>
        <v>5</v>
      </c>
      <c r="I57" s="26" t="s">
        <v>51</v>
      </c>
      <c r="J57" s="26" t="s">
        <v>10</v>
      </c>
      <c r="K57" s="27" t="str">
        <f aca="false">IF(AND($F57&lt;=K$10+6,$G57&gt;=K$10),IF($I57="Hito",IF($J57="Completado","◆","◇")," "),"")</f>
        <v/>
      </c>
      <c r="L57" s="27" t="str">
        <f aca="false">IF(AND($F57&lt;=L$10+6,$G57&gt;=L$10),IF($I57="Hito",IF($J57="Completado","◆","◇")," "),"")</f>
        <v/>
      </c>
      <c r="M57" s="27" t="str">
        <f aca="false">IF(AND($F57&lt;=M$10+6,$G57&gt;=M$10),IF($I57="Hito",IF($J57="Completado","◆","◇")," "),"")</f>
        <v/>
      </c>
      <c r="N57" s="27" t="str">
        <f aca="false">IF(AND($F57&lt;=N$10+6,$G57&gt;=N$10),IF($I57="Hito",IF($J57="Completado","◆","◇")," "),"")</f>
        <v/>
      </c>
      <c r="O57" s="27" t="str">
        <f aca="false">IF(AND($F57&lt;=O$10+6,$G57&gt;=O$10),IF($I57="Hito",IF($J57="Completado","◆","◇")," "),"")</f>
        <v/>
      </c>
      <c r="P57" s="27" t="str">
        <f aca="false">IF(AND($F57&lt;=P$10+6,$G57&gt;=P$10),IF($I57="Hito",IF($J57="Completado","◆","◇")," "),"")</f>
        <v/>
      </c>
      <c r="Q57" s="27" t="str">
        <f aca="false">IF(AND($F57&lt;=Q$10+6,$G57&gt;=Q$10),IF($I57="Hito",IF($J57="Completado","◆","◇")," "),"")</f>
        <v/>
      </c>
      <c r="R57" s="27" t="str">
        <f aca="false">IF(AND($F57&lt;=R$10+6,$G57&gt;=R$10),IF($I57="Hito",IF($J57="Completado","◆","◇")," "),"")</f>
        <v/>
      </c>
      <c r="S57" s="27" t="str">
        <f aca="false">IF(AND($F57&lt;=S$10+6,$G57&gt;=S$10),IF($I57="Hito",IF($J57="Completado","◆","◇")," "),"")</f>
        <v/>
      </c>
      <c r="T57" s="27" t="str">
        <f aca="false">IF(AND($F57&lt;=T$10+6,$G57&gt;=T$10),IF($I57="Hito",IF($J57="Completado","◆","◇")," "),"")</f>
        <v/>
      </c>
      <c r="U57" s="27" t="str">
        <f aca="false">IF(AND($F57&lt;=U$10+6,$G57&gt;=U$10),IF($I57="Hito",IF($J57="Completado","◆","◇")," "),"")</f>
        <v/>
      </c>
      <c r="V57" s="27" t="str">
        <f aca="false">IF(AND($F57&lt;=V$10+6,$G57&gt;=V$10),IF($I57="Hito",IF($J57="Completado","◆","◇")," "),"")</f>
        <v/>
      </c>
      <c r="W57" s="27" t="str">
        <f aca="false">IF(AND($F57&lt;=W$10+6,$G57&gt;=W$10),IF($I57="Hito",IF($J57="Completado","◆","◇")," "),"")</f>
        <v/>
      </c>
      <c r="X57" s="27" t="str">
        <f aca="false">IF(AND($F57&lt;=X$10+6,$G57&gt;=X$10),IF($I57="Hito",IF($J57="Completado","◆","◇")," "),"")</f>
        <v/>
      </c>
      <c r="Y57" s="27" t="str">
        <f aca="false">IF(AND($F57&lt;=Y$10+6,$G57&gt;=Y$10),IF($I57="Hito",IF($J57="Completado","◆","◇")," "),"")</f>
        <v/>
      </c>
      <c r="Z57" s="27" t="str">
        <f aca="false">IF(AND($F57&lt;=Z$10+6,$G57&gt;=Z$10),IF($I57="Hito",IF($J57="Completado","◆","◇")," "),"")</f>
        <v/>
      </c>
      <c r="AA57" s="27" t="str">
        <f aca="false">IF(AND($F57&lt;=AA$10+6,$G57&gt;=AA$10),IF($I57="Hito",IF($J57="Completado","◆","◇")," "),"")</f>
        <v> </v>
      </c>
      <c r="AB57" s="27" t="str">
        <f aca="false">IF(AND($F57&lt;=AB$10+6,$G57&gt;=AB$10),IF($I57="Hito",IF($J57="Completado","◆","◇")," "),"")</f>
        <v/>
      </c>
    </row>
    <row r="58" customFormat="false" ht="30" hidden="false" customHeight="true" outlineLevel="0" collapsed="false">
      <c r="A58" s="23" t="n">
        <v>41</v>
      </c>
      <c r="B58" s="24" t="s">
        <v>109</v>
      </c>
      <c r="C58" s="23" t="s">
        <v>16</v>
      </c>
      <c r="D58" s="23" t="s">
        <v>47</v>
      </c>
      <c r="E58" s="24" t="s">
        <v>48</v>
      </c>
      <c r="F58" s="25" t="n">
        <v>46363</v>
      </c>
      <c r="G58" s="25" t="n">
        <v>46366</v>
      </c>
      <c r="H58" s="23" t="n">
        <f aca="false">G58-F58+1</f>
        <v>4</v>
      </c>
      <c r="I58" s="26" t="s">
        <v>51</v>
      </c>
      <c r="J58" s="26" t="s">
        <v>10</v>
      </c>
      <c r="K58" s="27" t="str">
        <f aca="false">IF(AND($F58&lt;=K$10+6,$G58&gt;=K$10),IF($I58="Hito",IF($J58="Completado","◆","◇")," "),"")</f>
        <v/>
      </c>
      <c r="L58" s="27" t="str">
        <f aca="false">IF(AND($F58&lt;=L$10+6,$G58&gt;=L$10),IF($I58="Hito",IF($J58="Completado","◆","◇")," "),"")</f>
        <v/>
      </c>
      <c r="M58" s="27" t="str">
        <f aca="false">IF(AND($F58&lt;=M$10+6,$G58&gt;=M$10),IF($I58="Hito",IF($J58="Completado","◆","◇")," "),"")</f>
        <v/>
      </c>
      <c r="N58" s="27" t="str">
        <f aca="false">IF(AND($F58&lt;=N$10+6,$G58&gt;=N$10),IF($I58="Hito",IF($J58="Completado","◆","◇")," "),"")</f>
        <v/>
      </c>
      <c r="O58" s="27" t="str">
        <f aca="false">IF(AND($F58&lt;=O$10+6,$G58&gt;=O$10),IF($I58="Hito",IF($J58="Completado","◆","◇")," "),"")</f>
        <v/>
      </c>
      <c r="P58" s="27" t="str">
        <f aca="false">IF(AND($F58&lt;=P$10+6,$G58&gt;=P$10),IF($I58="Hito",IF($J58="Completado","◆","◇")," "),"")</f>
        <v/>
      </c>
      <c r="Q58" s="27" t="str">
        <f aca="false">IF(AND($F58&lt;=Q$10+6,$G58&gt;=Q$10),IF($I58="Hito",IF($J58="Completado","◆","◇")," "),"")</f>
        <v/>
      </c>
      <c r="R58" s="27" t="str">
        <f aca="false">IF(AND($F58&lt;=R$10+6,$G58&gt;=R$10),IF($I58="Hito",IF($J58="Completado","◆","◇")," "),"")</f>
        <v/>
      </c>
      <c r="S58" s="27" t="str">
        <f aca="false">IF(AND($F58&lt;=S$10+6,$G58&gt;=S$10),IF($I58="Hito",IF($J58="Completado","◆","◇")," "),"")</f>
        <v/>
      </c>
      <c r="T58" s="27" t="str">
        <f aca="false">IF(AND($F58&lt;=T$10+6,$G58&gt;=T$10),IF($I58="Hito",IF($J58="Completado","◆","◇")," "),"")</f>
        <v/>
      </c>
      <c r="U58" s="27" t="str">
        <f aca="false">IF(AND($F58&lt;=U$10+6,$G58&gt;=U$10),IF($I58="Hito",IF($J58="Completado","◆","◇")," "),"")</f>
        <v/>
      </c>
      <c r="V58" s="27" t="str">
        <f aca="false">IF(AND($F58&lt;=V$10+6,$G58&gt;=V$10),IF($I58="Hito",IF($J58="Completado","◆","◇")," "),"")</f>
        <v/>
      </c>
      <c r="W58" s="27" t="str">
        <f aca="false">IF(AND($F58&lt;=W$10+6,$G58&gt;=W$10),IF($I58="Hito",IF($J58="Completado","◆","◇")," "),"")</f>
        <v/>
      </c>
      <c r="X58" s="27" t="str">
        <f aca="false">IF(AND($F58&lt;=X$10+6,$G58&gt;=X$10),IF($I58="Hito",IF($J58="Completado","◆","◇")," "),"")</f>
        <v/>
      </c>
      <c r="Y58" s="27" t="str">
        <f aca="false">IF(AND($F58&lt;=Y$10+6,$G58&gt;=Y$10),IF($I58="Hito",IF($J58="Completado","◆","◇")," "),"")</f>
        <v/>
      </c>
      <c r="Z58" s="27" t="str">
        <f aca="false">IF(AND($F58&lt;=Z$10+6,$G58&gt;=Z$10),IF($I58="Hito",IF($J58="Completado","◆","◇")," "),"")</f>
        <v/>
      </c>
      <c r="AA58" s="27" t="str">
        <f aca="false">IF(AND($F58&lt;=AA$10+6,$G58&gt;=AA$10),IF($I58="Hito",IF($J58="Completado","◆","◇")," "),"")</f>
        <v/>
      </c>
      <c r="AB58" s="27" t="str">
        <f aca="false">IF(AND($F58&lt;=AB$10+6,$G58&gt;=AB$10),IF($I58="Hito",IF($J58="Completado","◆","◇")," "),"")</f>
        <v> </v>
      </c>
    </row>
    <row r="59" customFormat="false" ht="18" hidden="false" customHeight="true" outlineLevel="0" collapsed="false">
      <c r="A59" s="21" t="s">
        <v>110</v>
      </c>
      <c r="B59" s="21"/>
      <c r="C59" s="21"/>
      <c r="D59" s="21"/>
      <c r="E59" s="21"/>
      <c r="F59" s="21"/>
      <c r="G59" s="21"/>
      <c r="H59" s="21"/>
      <c r="I59" s="21"/>
      <c r="J59" s="21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</row>
    <row r="60" customFormat="false" ht="30" hidden="false" customHeight="true" outlineLevel="0" collapsed="false">
      <c r="A60" s="23" t="n">
        <v>42</v>
      </c>
      <c r="B60" s="24" t="s">
        <v>111</v>
      </c>
      <c r="C60" s="23" t="s">
        <v>112</v>
      </c>
      <c r="D60" s="23" t="s">
        <v>47</v>
      </c>
      <c r="E60" s="24" t="s">
        <v>48</v>
      </c>
      <c r="F60" s="25" t="n">
        <v>46244</v>
      </c>
      <c r="G60" s="25" t="n">
        <v>46366</v>
      </c>
      <c r="H60" s="23" t="n">
        <f aca="false">G60-F60+1</f>
        <v>123</v>
      </c>
      <c r="I60" s="26" t="s">
        <v>51</v>
      </c>
      <c r="J60" s="26" t="s">
        <v>7</v>
      </c>
      <c r="K60" s="27" t="str">
        <f aca="false">IF(AND($F60&lt;=K$10+6,$G60&gt;=K$10),IF($I60="Hito",IF($J60="Completado","◆","◇")," "),"")</f>
        <v> </v>
      </c>
      <c r="L60" s="27" t="str">
        <f aca="false">IF(AND($F60&lt;=L$10+6,$G60&gt;=L$10),IF($I60="Hito",IF($J60="Completado","◆","◇")," "),"")</f>
        <v> </v>
      </c>
      <c r="M60" s="27" t="str">
        <f aca="false">IF(AND($F60&lt;=M$10+6,$G60&gt;=M$10),IF($I60="Hito",IF($J60="Completado","◆","◇")," "),"")</f>
        <v> </v>
      </c>
      <c r="N60" s="27" t="str">
        <f aca="false">IF(AND($F60&lt;=N$10+6,$G60&gt;=N$10),IF($I60="Hito",IF($J60="Completado","◆","◇")," "),"")</f>
        <v> </v>
      </c>
      <c r="O60" s="27" t="str">
        <f aca="false">IF(AND($F60&lt;=O$10+6,$G60&gt;=O$10),IF($I60="Hito",IF($J60="Completado","◆","◇")," "),"")</f>
        <v> </v>
      </c>
      <c r="P60" s="27" t="str">
        <f aca="false">IF(AND($F60&lt;=P$10+6,$G60&gt;=P$10),IF($I60="Hito",IF($J60="Completado","◆","◇")," "),"")</f>
        <v> </v>
      </c>
      <c r="Q60" s="27" t="str">
        <f aca="false">IF(AND($F60&lt;=Q$10+6,$G60&gt;=Q$10),IF($I60="Hito",IF($J60="Completado","◆","◇")," "),"")</f>
        <v> </v>
      </c>
      <c r="R60" s="27" t="str">
        <f aca="false">IF(AND($F60&lt;=R$10+6,$G60&gt;=R$10),IF($I60="Hito",IF($J60="Completado","◆","◇")," "),"")</f>
        <v> </v>
      </c>
      <c r="S60" s="27" t="str">
        <f aca="false">IF(AND($F60&lt;=S$10+6,$G60&gt;=S$10),IF($I60="Hito",IF($J60="Completado","◆","◇")," "),"")</f>
        <v> </v>
      </c>
      <c r="T60" s="27" t="str">
        <f aca="false">IF(AND($F60&lt;=T$10+6,$G60&gt;=T$10),IF($I60="Hito",IF($J60="Completado","◆","◇")," "),"")</f>
        <v> </v>
      </c>
      <c r="U60" s="27" t="str">
        <f aca="false">IF(AND($F60&lt;=U$10+6,$G60&gt;=U$10),IF($I60="Hito",IF($J60="Completado","◆","◇")," "),"")</f>
        <v> </v>
      </c>
      <c r="V60" s="27" t="str">
        <f aca="false">IF(AND($F60&lt;=V$10+6,$G60&gt;=V$10),IF($I60="Hito",IF($J60="Completado","◆","◇")," "),"")</f>
        <v> </v>
      </c>
      <c r="W60" s="27" t="str">
        <f aca="false">IF(AND($F60&lt;=W$10+6,$G60&gt;=W$10),IF($I60="Hito",IF($J60="Completado","◆","◇")," "),"")</f>
        <v> </v>
      </c>
      <c r="X60" s="27" t="str">
        <f aca="false">IF(AND($F60&lt;=X$10+6,$G60&gt;=X$10),IF($I60="Hito",IF($J60="Completado","◆","◇")," "),"")</f>
        <v> </v>
      </c>
      <c r="Y60" s="27" t="str">
        <f aca="false">IF(AND($F60&lt;=Y$10+6,$G60&gt;=Y$10),IF($I60="Hito",IF($J60="Completado","◆","◇")," "),"")</f>
        <v> </v>
      </c>
      <c r="Z60" s="27" t="str">
        <f aca="false">IF(AND($F60&lt;=Z$10+6,$G60&gt;=Z$10),IF($I60="Hito",IF($J60="Completado","◆","◇")," "),"")</f>
        <v> </v>
      </c>
      <c r="AA60" s="27" t="str">
        <f aca="false">IF(AND($F60&lt;=AA$10+6,$G60&gt;=AA$10),IF($I60="Hito",IF($J60="Completado","◆","◇")," "),"")</f>
        <v> </v>
      </c>
      <c r="AB60" s="27" t="str">
        <f aca="false">IF(AND($F60&lt;=AB$10+6,$G60&gt;=AB$10),IF($I60="Hito",IF($J60="Completado","◆","◇")," "),"")</f>
        <v> </v>
      </c>
    </row>
    <row r="61" customFormat="false" ht="30" hidden="false" customHeight="true" outlineLevel="0" collapsed="false">
      <c r="A61" s="23" t="n">
        <v>43</v>
      </c>
      <c r="B61" s="24" t="s">
        <v>113</v>
      </c>
      <c r="C61" s="23" t="s">
        <v>60</v>
      </c>
      <c r="D61" s="23" t="s">
        <v>47</v>
      </c>
      <c r="E61" s="24" t="s">
        <v>48</v>
      </c>
      <c r="F61" s="25" t="n">
        <v>46301</v>
      </c>
      <c r="G61" s="25" t="n">
        <v>46355</v>
      </c>
      <c r="H61" s="23" t="n">
        <f aca="false">G61-F61+1</f>
        <v>55</v>
      </c>
      <c r="I61" s="26" t="s">
        <v>51</v>
      </c>
      <c r="J61" s="26" t="s">
        <v>7</v>
      </c>
      <c r="K61" s="27" t="str">
        <f aca="false">IF(AND($F61&lt;=K$10+6,$G61&gt;=K$10),IF($I61="Hito",IF($J61="Completado","◆","◇")," "),"")</f>
        <v/>
      </c>
      <c r="L61" s="27" t="str">
        <f aca="false">IF(AND($F61&lt;=L$10+6,$G61&gt;=L$10),IF($I61="Hito",IF($J61="Completado","◆","◇")," "),"")</f>
        <v/>
      </c>
      <c r="M61" s="27" t="str">
        <f aca="false">IF(AND($F61&lt;=M$10+6,$G61&gt;=M$10),IF($I61="Hito",IF($J61="Completado","◆","◇")," "),"")</f>
        <v/>
      </c>
      <c r="N61" s="27" t="str">
        <f aca="false">IF(AND($F61&lt;=N$10+6,$G61&gt;=N$10),IF($I61="Hito",IF($J61="Completado","◆","◇")," "),"")</f>
        <v/>
      </c>
      <c r="O61" s="27" t="str">
        <f aca="false">IF(AND($F61&lt;=O$10+6,$G61&gt;=O$10),IF($I61="Hito",IF($J61="Completado","◆","◇")," "),"")</f>
        <v/>
      </c>
      <c r="P61" s="27" t="str">
        <f aca="false">IF(AND($F61&lt;=P$10+6,$G61&gt;=P$10),IF($I61="Hito",IF($J61="Completado","◆","◇")," "),"")</f>
        <v/>
      </c>
      <c r="Q61" s="27" t="str">
        <f aca="false">IF(AND($F61&lt;=Q$10+6,$G61&gt;=Q$10),IF($I61="Hito",IF($J61="Completado","◆","◇")," "),"")</f>
        <v/>
      </c>
      <c r="R61" s="27" t="str">
        <f aca="false">IF(AND($F61&lt;=R$10+6,$G61&gt;=R$10),IF($I61="Hito",IF($J61="Completado","◆","◇")," "),"")</f>
        <v/>
      </c>
      <c r="S61" s="27" t="str">
        <f aca="false">IF(AND($F61&lt;=S$10+6,$G61&gt;=S$10),IF($I61="Hito",IF($J61="Completado","◆","◇")," "),"")</f>
        <v> </v>
      </c>
      <c r="T61" s="27" t="str">
        <f aca="false">IF(AND($F61&lt;=T$10+6,$G61&gt;=T$10),IF($I61="Hito",IF($J61="Completado","◆","◇")," "),"")</f>
        <v> </v>
      </c>
      <c r="U61" s="27" t="str">
        <f aca="false">IF(AND($F61&lt;=U$10+6,$G61&gt;=U$10),IF($I61="Hito",IF($J61="Completado","◆","◇")," "),"")</f>
        <v> </v>
      </c>
      <c r="V61" s="27" t="str">
        <f aca="false">IF(AND($F61&lt;=V$10+6,$G61&gt;=V$10),IF($I61="Hito",IF($J61="Completado","◆","◇")," "),"")</f>
        <v> </v>
      </c>
      <c r="W61" s="27" t="str">
        <f aca="false">IF(AND($F61&lt;=W$10+6,$G61&gt;=W$10),IF($I61="Hito",IF($J61="Completado","◆","◇")," "),"")</f>
        <v> </v>
      </c>
      <c r="X61" s="27" t="str">
        <f aca="false">IF(AND($F61&lt;=X$10+6,$G61&gt;=X$10),IF($I61="Hito",IF($J61="Completado","◆","◇")," "),"")</f>
        <v> </v>
      </c>
      <c r="Y61" s="27" t="str">
        <f aca="false">IF(AND($F61&lt;=Y$10+6,$G61&gt;=Y$10),IF($I61="Hito",IF($J61="Completado","◆","◇")," "),"")</f>
        <v> </v>
      </c>
      <c r="Z61" s="27" t="str">
        <f aca="false">IF(AND($F61&lt;=Z$10+6,$G61&gt;=Z$10),IF($I61="Hito",IF($J61="Completado","◆","◇")," "),"")</f>
        <v> </v>
      </c>
      <c r="AA61" s="27" t="str">
        <f aca="false">IF(AND($F61&lt;=AA$10+6,$G61&gt;=AA$10),IF($I61="Hito",IF($J61="Completado","◆","◇")," "),"")</f>
        <v/>
      </c>
      <c r="AB61" s="27" t="str">
        <f aca="false">IF(AND($F61&lt;=AB$10+6,$G61&gt;=AB$10),IF($I61="Hito",IF($J61="Completado","◆","◇")," "),"")</f>
        <v/>
      </c>
    </row>
  </sheetData>
  <mergeCells count="14">
    <mergeCell ref="F3:G3"/>
    <mergeCell ref="F4:G4"/>
    <mergeCell ref="F5:G5"/>
    <mergeCell ref="K7:N7"/>
    <mergeCell ref="O7:Z7"/>
    <mergeCell ref="AA7:AB7"/>
    <mergeCell ref="A11:J11"/>
    <mergeCell ref="A18:J18"/>
    <mergeCell ref="A21:J21"/>
    <mergeCell ref="A33:J33"/>
    <mergeCell ref="A50:J50"/>
    <mergeCell ref="A53:J53"/>
    <mergeCell ref="A56:J56"/>
    <mergeCell ref="A59:J59"/>
  </mergeCells>
  <conditionalFormatting sqref="K11:AB61">
    <cfRule type="expression" priority="2" aboveAverage="0" equalAverage="0" bottom="0" percent="0" rank="0" text="" dxfId="0">
      <formula>AND(K11&lt;&gt;"",$I11="Tarea",$J11="Completado")</formula>
    </cfRule>
    <cfRule type="expression" priority="3" aboveAverage="0" equalAverage="0" bottom="0" percent="0" rank="0" text="" dxfId="1">
      <formula>AND(K11&lt;&gt;"",$I11="Tarea",$J11="En curso")</formula>
    </cfRule>
    <cfRule type="expression" priority="4" aboveAverage="0" equalAverage="0" bottom="0" percent="0" rank="0" text="" dxfId="2">
      <formula>AND(K11&lt;&gt;"",$I11="Tarea",$J11="Planificado")</formula>
    </cfRule>
    <cfRule type="expression" priority="5" aboveAverage="0" equalAverage="0" bottom="0" percent="0" rank="0" text="" dxfId="3">
      <formula>AND($C$4&gt;=K$10,$C$4&lt;=K$10+6)</formula>
    </cfRule>
  </conditionalFormatting>
  <conditionalFormatting sqref="K9:AB9">
    <cfRule type="expression" priority="6" aboveAverage="0" equalAverage="0" bottom="0" percent="0" rank="0" text="" dxfId="4">
      <formula>AND($C$4&gt;=K$10,$C$4&lt;=K$10+6)</formula>
    </cfRule>
  </conditionalFormatting>
  <conditionalFormatting sqref="J11:J61">
    <cfRule type="expression" priority="7" aboveAverage="0" equalAverage="0" bottom="0" percent="0" rank="0" text="" dxfId="5">
      <formula>$J11="Completado"</formula>
    </cfRule>
    <cfRule type="expression" priority="8" aboveAverage="0" equalAverage="0" bottom="0" percent="0" rank="0" text="" dxfId="6">
      <formula>$J11="En curso"</formula>
    </cfRule>
    <cfRule type="expression" priority="9" aboveAverage="0" equalAverage="0" bottom="0" percent="0" rank="0" text="" dxfId="7">
      <formula>$J11="Planificado"</formula>
    </cfRule>
  </conditionalFormatting>
  <dataValidations count="2">
    <dataValidation allowBlank="true" errorStyle="stop" operator="between" showDropDown="false" showErrorMessage="false" showInputMessage="false" sqref="J11:J61" type="list">
      <formula1>"Completado,En curso,Planificado"</formula1>
      <formula2>0</formula2>
    </dataValidation>
    <dataValidation allowBlank="true" errorStyle="stop" operator="between" showDropDown="false" showErrorMessage="false" showInputMessage="false" sqref="I11:I61" type="list">
      <formula1>"Tarea,Hito"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4" min="3" style="0" width="12"/>
    <col collapsed="false" customWidth="true" hidden="false" outlineLevel="0" max="5" min="5" style="0" width="6"/>
    <col collapsed="false" customWidth="true" hidden="false" outlineLevel="0" max="6" min="6" style="0" width="16"/>
    <col collapsed="false" customWidth="true" hidden="false" outlineLevel="0" max="7" min="7" style="0" width="60"/>
    <col collapsed="false" customWidth="true" hidden="false" outlineLevel="0" max="8" min="8" style="0" width="20"/>
    <col collapsed="false" customWidth="true" hidden="false" outlineLevel="0" max="9" min="9" style="0" width="12"/>
  </cols>
  <sheetData>
    <row r="1" customFormat="false" ht="15" hidden="false" customHeight="false" outlineLevel="0" collapsed="false">
      <c r="A1" s="28" t="s">
        <v>17</v>
      </c>
      <c r="B1" s="28" t="s">
        <v>114</v>
      </c>
      <c r="C1" s="28" t="s">
        <v>40</v>
      </c>
      <c r="D1" s="28" t="s">
        <v>41</v>
      </c>
      <c r="E1" s="28" t="s">
        <v>42</v>
      </c>
      <c r="F1" s="28" t="s">
        <v>115</v>
      </c>
      <c r="G1" s="28" t="s">
        <v>116</v>
      </c>
      <c r="H1" s="28" t="s">
        <v>117</v>
      </c>
      <c r="I1" s="28" t="s">
        <v>44</v>
      </c>
    </row>
    <row r="2" customFormat="false" ht="31.5" hidden="false" customHeight="true" outlineLevel="0" collapsed="false">
      <c r="A2" s="27" t="s">
        <v>61</v>
      </c>
      <c r="B2" s="29" t="s">
        <v>118</v>
      </c>
      <c r="C2" s="30" t="n">
        <v>46290</v>
      </c>
      <c r="D2" s="30" t="n">
        <v>46300</v>
      </c>
      <c r="E2" s="31" t="n">
        <f aca="false">D2-C2+1</f>
        <v>11</v>
      </c>
      <c r="F2" s="31" t="str">
        <f aca="false">"S"&amp;(INT((C2-'Carta Gantt'!$C$3)/7)+1)&amp;" a S"&amp;(INT((D2-'Carta Gantt'!$C$3)/7)+1)</f>
        <v>S7 a S9</v>
      </c>
      <c r="G2" s="29" t="s">
        <v>119</v>
      </c>
      <c r="H2" s="29" t="s">
        <v>47</v>
      </c>
      <c r="I2" s="32" t="s">
        <v>4</v>
      </c>
    </row>
    <row r="3" customFormat="false" ht="31.5" hidden="false" customHeight="true" outlineLevel="0" collapsed="false">
      <c r="A3" s="27" t="s">
        <v>66</v>
      </c>
      <c r="B3" s="29" t="s">
        <v>120</v>
      </c>
      <c r="C3" s="30" t="n">
        <v>46301</v>
      </c>
      <c r="D3" s="30" t="n">
        <v>46314</v>
      </c>
      <c r="E3" s="31" t="n">
        <f aca="false">D3-C3+1</f>
        <v>14</v>
      </c>
      <c r="F3" s="31" t="str">
        <f aca="false">"S"&amp;(INT((C3-'Carta Gantt'!$C$3)/7)+1)&amp;" a S"&amp;(INT((D3-'Carta Gantt'!$C$3)/7)+1)</f>
        <v>S9 a S11</v>
      </c>
      <c r="G3" s="29" t="s">
        <v>121</v>
      </c>
      <c r="H3" s="29" t="s">
        <v>122</v>
      </c>
      <c r="I3" s="32" t="s">
        <v>4</v>
      </c>
    </row>
    <row r="4" customFormat="false" ht="31.5" hidden="false" customHeight="true" outlineLevel="0" collapsed="false">
      <c r="A4" s="27" t="s">
        <v>81</v>
      </c>
      <c r="B4" s="29" t="s">
        <v>123</v>
      </c>
      <c r="C4" s="30" t="n">
        <v>46315</v>
      </c>
      <c r="D4" s="30" t="n">
        <v>46328</v>
      </c>
      <c r="E4" s="31" t="n">
        <f aca="false">D4-C4+1</f>
        <v>14</v>
      </c>
      <c r="F4" s="31" t="str">
        <f aca="false">"S"&amp;(INT((C4-'Carta Gantt'!$C$3)/7)+1)&amp;" a S"&amp;(INT((D4-'Carta Gantt'!$C$3)/7)+1)</f>
        <v>S11 a S13</v>
      </c>
      <c r="G4" s="29" t="s">
        <v>124</v>
      </c>
      <c r="H4" s="29" t="s">
        <v>125</v>
      </c>
      <c r="I4" s="32" t="s">
        <v>7</v>
      </c>
    </row>
    <row r="5" customFormat="false" ht="31.5" hidden="false" customHeight="true" outlineLevel="0" collapsed="false">
      <c r="A5" s="27" t="s">
        <v>101</v>
      </c>
      <c r="B5" s="29" t="s">
        <v>126</v>
      </c>
      <c r="C5" s="30" t="n">
        <v>46329</v>
      </c>
      <c r="D5" s="30" t="n">
        <v>46342</v>
      </c>
      <c r="E5" s="31" t="n">
        <f aca="false">D5-C5+1</f>
        <v>14</v>
      </c>
      <c r="F5" s="31" t="str">
        <f aca="false">"S"&amp;(INT((C5-'Carta Gantt'!$C$3)/7)+1)&amp;" a S"&amp;(INT((D5-'Carta Gantt'!$C$3)/7)+1)</f>
        <v>S13 a S15</v>
      </c>
      <c r="G5" s="29" t="s">
        <v>127</v>
      </c>
      <c r="H5" s="29" t="s">
        <v>47</v>
      </c>
      <c r="I5" s="32" t="s">
        <v>10</v>
      </c>
    </row>
    <row r="6" customFormat="false" ht="31.5" hidden="false" customHeight="true" outlineLevel="0" collapsed="false">
      <c r="A6" s="27" t="s">
        <v>105</v>
      </c>
      <c r="B6" s="29" t="s">
        <v>128</v>
      </c>
      <c r="C6" s="30" t="n">
        <v>46343</v>
      </c>
      <c r="D6" s="30" t="n">
        <v>46355</v>
      </c>
      <c r="E6" s="31" t="n">
        <f aca="false">D6-C6+1</f>
        <v>13</v>
      </c>
      <c r="F6" s="31" t="str">
        <f aca="false">"S"&amp;(INT((C6-'Carta Gantt'!$C$3)/7)+1)&amp;" a S"&amp;(INT((D6-'Carta Gantt'!$C$3)/7)+1)</f>
        <v>S15 a S16</v>
      </c>
      <c r="G6" s="29" t="s">
        <v>129</v>
      </c>
      <c r="H6" s="29" t="s">
        <v>47</v>
      </c>
      <c r="I6" s="32" t="s">
        <v>10</v>
      </c>
    </row>
    <row r="8" customFormat="false" ht="30" hidden="false" customHeight="true" outlineLevel="0" collapsed="false">
      <c r="A8" s="33" t="s">
        <v>130</v>
      </c>
      <c r="B8" s="33"/>
      <c r="C8" s="33"/>
      <c r="D8" s="33"/>
      <c r="E8" s="33"/>
      <c r="F8" s="33"/>
      <c r="G8" s="33"/>
      <c r="H8" s="33"/>
      <c r="I8" s="33"/>
    </row>
  </sheetData>
  <mergeCells count="1">
    <mergeCell ref="A8:I8"/>
  </mergeCells>
  <conditionalFormatting sqref="I2:I6">
    <cfRule type="expression" priority="2" aboveAverage="0" equalAverage="0" bottom="0" percent="0" rank="0" text="" dxfId="5">
      <formula>$I2="Completado"</formula>
    </cfRule>
    <cfRule type="expression" priority="3" aboveAverage="0" equalAverage="0" bottom="0" percent="0" rank="0" text="" dxfId="6">
      <formula>$I2="En curso"</formula>
    </cfRule>
    <cfRule type="expression" priority="4" aboveAverage="0" equalAverage="0" bottom="0" percent="0" rank="0" text="" dxfId="7">
      <formula>$I2="Planificado"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58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34"/>
  </cols>
  <sheetData>
    <row r="1" customFormat="false" ht="15" hidden="false" customHeight="false" outlineLevel="0" collapsed="false">
      <c r="A1" s="28" t="s">
        <v>131</v>
      </c>
      <c r="B1" s="28" t="s">
        <v>18</v>
      </c>
      <c r="C1" s="28" t="s">
        <v>13</v>
      </c>
      <c r="D1" s="28" t="s">
        <v>49</v>
      </c>
      <c r="E1" s="28" t="s">
        <v>39</v>
      </c>
      <c r="F1" s="28" t="s">
        <v>44</v>
      </c>
      <c r="G1" s="28" t="s">
        <v>132</v>
      </c>
    </row>
    <row r="2" customFormat="false" ht="15" hidden="false" customHeight="false" outlineLevel="0" collapsed="false">
      <c r="A2" s="30" t="n">
        <v>46244</v>
      </c>
      <c r="B2" s="31" t="str">
        <f aca="false">"S"&amp;(INT((A2-'Carta Gantt'!$C$3)/7)+1)</f>
        <v>S1</v>
      </c>
      <c r="C2" s="31" t="s">
        <v>14</v>
      </c>
      <c r="D2" s="29" t="s">
        <v>46</v>
      </c>
      <c r="E2" s="31" t="s">
        <v>48</v>
      </c>
      <c r="F2" s="32" t="s">
        <v>4</v>
      </c>
      <c r="G2" s="29" t="s">
        <v>133</v>
      </c>
    </row>
    <row r="3" customFormat="false" ht="15" hidden="false" customHeight="false" outlineLevel="0" collapsed="false">
      <c r="A3" s="30" t="n">
        <v>46255</v>
      </c>
      <c r="B3" s="31" t="str">
        <f aca="false">"S"&amp;(INT((A3-'Carta Gantt'!$C$3)/7)+1)</f>
        <v>S2</v>
      </c>
      <c r="C3" s="31" t="s">
        <v>14</v>
      </c>
      <c r="D3" s="29" t="s">
        <v>52</v>
      </c>
      <c r="E3" s="31" t="s">
        <v>48</v>
      </c>
      <c r="F3" s="32" t="s">
        <v>4</v>
      </c>
      <c r="G3" s="29" t="s">
        <v>134</v>
      </c>
    </row>
    <row r="4" customFormat="false" ht="15" hidden="false" customHeight="false" outlineLevel="0" collapsed="false">
      <c r="A4" s="30" t="n">
        <v>46268</v>
      </c>
      <c r="B4" s="31" t="str">
        <f aca="false">"S"&amp;(INT((A4-'Carta Gantt'!$C$3)/7)+1)</f>
        <v>S4</v>
      </c>
      <c r="C4" s="31" t="s">
        <v>14</v>
      </c>
      <c r="D4" s="29" t="s">
        <v>54</v>
      </c>
      <c r="E4" s="31" t="s">
        <v>48</v>
      </c>
      <c r="F4" s="32" t="s">
        <v>4</v>
      </c>
      <c r="G4" s="29" t="s">
        <v>135</v>
      </c>
    </row>
    <row r="5" customFormat="false" ht="15" hidden="false" customHeight="false" outlineLevel="0" collapsed="false">
      <c r="A5" s="30" t="n">
        <v>46290</v>
      </c>
      <c r="B5" s="31" t="str">
        <f aca="false">"S"&amp;(INT((A5-'Carta Gantt'!$C$3)/7)+1)</f>
        <v>S7</v>
      </c>
      <c r="C5" s="31" t="s">
        <v>60</v>
      </c>
      <c r="D5" s="29" t="s">
        <v>59</v>
      </c>
      <c r="E5" s="31" t="s">
        <v>48</v>
      </c>
      <c r="F5" s="32" t="s">
        <v>4</v>
      </c>
      <c r="G5" s="29" t="s">
        <v>136</v>
      </c>
    </row>
    <row r="6" customFormat="false" ht="15" hidden="false" customHeight="false" outlineLevel="0" collapsed="false">
      <c r="A6" s="30" t="n">
        <v>46311</v>
      </c>
      <c r="B6" s="31" t="str">
        <f aca="false">"S"&amp;(INT((A6-'Carta Gantt'!$C$3)/7)+1)</f>
        <v>S10</v>
      </c>
      <c r="C6" s="31" t="s">
        <v>60</v>
      </c>
      <c r="D6" s="29" t="s">
        <v>76</v>
      </c>
      <c r="E6" s="31" t="s">
        <v>48</v>
      </c>
      <c r="F6" s="32" t="s">
        <v>4</v>
      </c>
      <c r="G6" s="29" t="s">
        <v>137</v>
      </c>
    </row>
    <row r="7" customFormat="false" ht="15" hidden="false" customHeight="false" outlineLevel="0" collapsed="false">
      <c r="A7" s="30" t="n">
        <v>46315</v>
      </c>
      <c r="B7" s="31" t="str">
        <f aca="false">"S"&amp;(INT((A7-'Carta Gantt'!$C$3)/7)+1)</f>
        <v>S11</v>
      </c>
      <c r="C7" s="31" t="s">
        <v>60</v>
      </c>
      <c r="D7" s="29" t="s">
        <v>80</v>
      </c>
      <c r="E7" s="31" t="s">
        <v>48</v>
      </c>
      <c r="F7" s="32" t="s">
        <v>4</v>
      </c>
      <c r="G7" s="29" t="s">
        <v>138</v>
      </c>
    </row>
    <row r="8" customFormat="false" ht="15" hidden="false" customHeight="false" outlineLevel="0" collapsed="false">
      <c r="A8" s="30" t="n">
        <v>46316</v>
      </c>
      <c r="B8" s="31" t="str">
        <f aca="false">"S"&amp;(INT((A8-'Carta Gantt'!$C$3)/7)+1)</f>
        <v>S11</v>
      </c>
      <c r="C8" s="31" t="s">
        <v>60</v>
      </c>
      <c r="D8" s="29" t="s">
        <v>87</v>
      </c>
      <c r="E8" s="31" t="s">
        <v>48</v>
      </c>
      <c r="F8" s="32" t="s">
        <v>4</v>
      </c>
      <c r="G8" s="29" t="s">
        <v>139</v>
      </c>
    </row>
    <row r="9" customFormat="false" ht="15" hidden="false" customHeight="false" outlineLevel="0" collapsed="false">
      <c r="A9" s="30" t="n">
        <v>46321</v>
      </c>
      <c r="B9" s="31" t="str">
        <f aca="false">"S"&amp;(INT((A9-'Carta Gantt'!$C$3)/7)+1)</f>
        <v>S12</v>
      </c>
      <c r="C9" s="31" t="s">
        <v>60</v>
      </c>
      <c r="D9" s="29" t="s">
        <v>88</v>
      </c>
      <c r="E9" s="31" t="s">
        <v>48</v>
      </c>
      <c r="F9" s="32" t="s">
        <v>4</v>
      </c>
      <c r="G9" s="29" t="s">
        <v>140</v>
      </c>
    </row>
    <row r="10" customFormat="false" ht="15" hidden="false" customHeight="false" outlineLevel="0" collapsed="false">
      <c r="A10" s="30" t="n">
        <v>46324</v>
      </c>
      <c r="B10" s="31" t="str">
        <f aca="false">"S"&amp;(INT((A10-'Carta Gantt'!$C$3)/7)+1)</f>
        <v>S12</v>
      </c>
      <c r="C10" s="31" t="s">
        <v>60</v>
      </c>
      <c r="D10" s="29" t="s">
        <v>95</v>
      </c>
      <c r="E10" s="31" t="s">
        <v>48</v>
      </c>
      <c r="F10" s="32" t="s">
        <v>10</v>
      </c>
      <c r="G10" s="29" t="s">
        <v>141</v>
      </c>
    </row>
    <row r="11" customFormat="false" ht="15" hidden="false" customHeight="false" outlineLevel="0" collapsed="false">
      <c r="A11" s="30" t="n">
        <v>46326</v>
      </c>
      <c r="B11" s="31" t="str">
        <f aca="false">"S"&amp;(INT((A11-'Carta Gantt'!$C$3)/7)+1)</f>
        <v>S12</v>
      </c>
      <c r="C11" s="31" t="s">
        <v>60</v>
      </c>
      <c r="D11" s="29" t="s">
        <v>98</v>
      </c>
      <c r="E11" s="31" t="s">
        <v>67</v>
      </c>
      <c r="F11" s="32" t="s">
        <v>10</v>
      </c>
      <c r="G11" s="29" t="s">
        <v>142</v>
      </c>
    </row>
  </sheetData>
  <conditionalFormatting sqref="F2:F12">
    <cfRule type="expression" priority="2" aboveAverage="0" equalAverage="0" bottom="0" percent="0" rank="0" text="" dxfId="5">
      <formula>$F2="Completado"</formula>
    </cfRule>
    <cfRule type="expression" priority="3" aboveAverage="0" equalAverage="0" bottom="0" percent="0" rank="0" text="" dxfId="6">
      <formula>$F2="En curso"</formula>
    </cfRule>
    <cfRule type="expression" priority="4" aboveAverage="0" equalAverage="0" bottom="0" percent="0" rank="0" text="" dxfId="7">
      <formula>$F2="Planificado"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21.75" hidden="false" customHeight="true" outlineLevel="0" collapsed="false">
      <c r="A1" s="34" t="s">
        <v>143</v>
      </c>
    </row>
    <row r="2" customFormat="false" ht="43.5" hidden="false" customHeight="true" outlineLevel="0" collapsed="false">
      <c r="A2" s="35" t="s">
        <v>144</v>
      </c>
    </row>
    <row r="3" customFormat="false" ht="43.5" hidden="false" customHeight="true" outlineLevel="0" collapsed="false">
      <c r="A3" s="35" t="s">
        <v>145</v>
      </c>
    </row>
    <row r="4" customFormat="false" ht="43.5" hidden="false" customHeight="true" outlineLevel="0" collapsed="false">
      <c r="A4" s="35" t="s">
        <v>146</v>
      </c>
    </row>
    <row r="5" customFormat="false" ht="21.75" hidden="false" customHeight="true" outlineLevel="0" collapsed="false">
      <c r="A5" s="34" t="s">
        <v>147</v>
      </c>
    </row>
    <row r="6" customFormat="false" ht="43.5" hidden="false" customHeight="true" outlineLevel="0" collapsed="false">
      <c r="A6" s="35" t="s">
        <v>148</v>
      </c>
    </row>
    <row r="7" customFormat="false" ht="43.5" hidden="false" customHeight="true" outlineLevel="0" collapsed="false">
      <c r="A7" s="35" t="s">
        <v>149</v>
      </c>
    </row>
    <row r="8" customFormat="false" ht="43.5" hidden="false" customHeight="true" outlineLevel="0" collapsed="false">
      <c r="A8" s="35" t="s">
        <v>150</v>
      </c>
    </row>
    <row r="9" customFormat="false" ht="21.75" hidden="false" customHeight="true" outlineLevel="0" collapsed="false">
      <c r="A9" s="34" t="s">
        <v>151</v>
      </c>
    </row>
    <row r="10" customFormat="false" ht="43.5" hidden="false" customHeight="true" outlineLevel="0" collapsed="false">
      <c r="A10" s="35" t="s">
        <v>152</v>
      </c>
    </row>
    <row r="11" customFormat="false" ht="43.5" hidden="false" customHeight="true" outlineLevel="0" collapsed="false">
      <c r="A11" s="35" t="s">
        <v>153</v>
      </c>
    </row>
    <row r="12" customFormat="false" ht="43.5" hidden="false" customHeight="true" outlineLevel="0" collapsed="false">
      <c r="A12" s="35" t="s">
        <v>154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2026-10-26T20:52:28Z</dcterms:created>
  <dc:creator>Equipo Kronos AI</dc:creator>
  <dc:description/>
  <dc:language>en-US</dc:language>
  <cp:lastModifiedBy>Equipo Kronos AI</cp:lastModifiedBy>
  <dcterms:modified xsi:type="dcterms:W3CDTF">2026-10-26T20:52:28Z</dcterms:modified>
  <cp:revision>0</cp:revision>
  <dc:subject/>
  <dc:title>Carta Gantt · Kronos AI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